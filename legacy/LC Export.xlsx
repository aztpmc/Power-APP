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straindustrial-my.sharepoint.com/personal/abdulrahman_alzahrani_tabukpharmaceuticals_com/Documents/Abdulrahman Alzahrani/2-LC/2-Export/"/>
    </mc:Choice>
  </mc:AlternateContent>
  <xr:revisionPtr revIDLastSave="1237" documentId="8_{7867CB63-F255-4378-8362-95B119EB9B63}" xr6:coauthVersionLast="47" xr6:coauthVersionMax="47" xr10:uidLastSave="{54878F4E-6D55-4425-A38F-AD09563B92A4}"/>
  <bookViews>
    <workbookView xWindow="-108" yWindow="-108" windowWidth="23256" windowHeight="13896" tabRatio="500" xr2:uid="{00000000-000D-0000-FFFF-FFFF00000000}"/>
  </bookViews>
  <sheets>
    <sheet name="LC Export Breakdown" sheetId="14" r:id="rId1"/>
    <sheet name="Cust Data" sheetId="6" r:id="rId2"/>
    <sheet name="Banks Data" sheetId="7" r:id="rId3"/>
    <sheet name="Payment Term" sheetId="8" r:id="rId4"/>
    <sheet name="Invoice Process Tracker" sheetId="15" r:id="rId5"/>
    <sheet name="Invoice Detail" sheetId="2" r:id="rId6"/>
  </sheets>
  <definedNames>
    <definedName name="_xlnm._FilterDatabase" localSheetId="2" hidden="1">'Banks Data'!$B$2:$C$2</definedName>
    <definedName name="_xlnm._FilterDatabase" localSheetId="3" hidden="1">'Payment Term'!$B$3:$C$3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15" l="1"/>
  <c r="M6" i="15"/>
  <c r="M7" i="15"/>
  <c r="M8" i="15"/>
  <c r="M9" i="15"/>
  <c r="M10" i="15"/>
  <c r="M11" i="15"/>
  <c r="M12" i="15"/>
  <c r="D64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D25" i="2"/>
  <c r="F273" i="14"/>
  <c r="L6" i="14" l="1"/>
  <c r="O9" i="14"/>
  <c r="O10" i="14"/>
  <c r="O11" i="14"/>
  <c r="O12" i="14"/>
  <c r="O13" i="14"/>
  <c r="O14" i="14"/>
  <c r="O15" i="14"/>
  <c r="O16" i="14"/>
  <c r="O17" i="14"/>
  <c r="M18" i="14"/>
  <c r="N22" i="14"/>
  <c r="N23" i="14"/>
  <c r="N24" i="14"/>
  <c r="N25" i="14"/>
  <c r="N26" i="14"/>
  <c r="N27" i="14"/>
  <c r="L28" i="14"/>
  <c r="N28" i="14" l="1"/>
  <c r="O18" i="14"/>
  <c r="L3" i="14" s="1"/>
  <c r="F409" i="14" l="1"/>
  <c r="B411" i="14" s="1"/>
  <c r="B405" i="14"/>
  <c r="B404" i="14"/>
  <c r="F402" i="14"/>
  <c r="F388" i="14"/>
  <c r="F372" i="14"/>
  <c r="F379" i="14"/>
  <c r="B381" i="14" s="1"/>
  <c r="B390" i="14"/>
  <c r="B391" i="14"/>
  <c r="B397" i="14"/>
  <c r="B375" i="14"/>
  <c r="B374" i="14"/>
  <c r="B361" i="14" l="1"/>
  <c r="B347" i="14"/>
  <c r="B333" i="14"/>
  <c r="B360" i="14"/>
  <c r="B346" i="14"/>
  <c r="B332" i="14"/>
  <c r="B318" i="14"/>
  <c r="F365" i="14"/>
  <c r="B367" i="14" s="1"/>
  <c r="F358" i="14"/>
  <c r="F351" i="14"/>
  <c r="B353" i="14" s="1"/>
  <c r="F344" i="14"/>
  <c r="F337" i="14"/>
  <c r="B339" i="14" s="1"/>
  <c r="F330" i="14"/>
  <c r="F212" i="14"/>
  <c r="F323" i="14" l="1"/>
  <c r="B325" i="14" s="1"/>
  <c r="F316" i="14"/>
  <c r="B261" i="14"/>
  <c r="B260" i="14"/>
  <c r="F258" i="14"/>
  <c r="N15" i="14" s="1"/>
  <c r="F265" i="14"/>
  <c r="F119" i="14"/>
  <c r="F287" i="14"/>
  <c r="I12" i="14"/>
  <c r="H12" i="14"/>
  <c r="I10" i="14"/>
  <c r="I9" i="14"/>
  <c r="I8" i="14"/>
  <c r="H8" i="14"/>
  <c r="H7" i="14"/>
  <c r="F309" i="14" l="1"/>
  <c r="B311" i="14" s="1"/>
  <c r="F302" i="14"/>
  <c r="F294" i="14"/>
  <c r="B296" i="14" s="1"/>
  <c r="F280" i="14"/>
  <c r="B282" i="14" s="1"/>
  <c r="P11" i="14" s="1"/>
  <c r="N11" i="14"/>
  <c r="B267" i="14"/>
  <c r="P15" i="14" s="1"/>
  <c r="F251" i="14"/>
  <c r="B253" i="14" s="1"/>
  <c r="F244" i="14"/>
  <c r="F230" i="14"/>
  <c r="B232" i="14" s="1"/>
  <c r="F223" i="14"/>
  <c r="B214" i="14"/>
  <c r="F205" i="14"/>
  <c r="F197" i="14"/>
  <c r="B199" i="14" s="1"/>
  <c r="F190" i="14"/>
  <c r="F183" i="14"/>
  <c r="B185" i="14" s="1"/>
  <c r="F176" i="14"/>
  <c r="F169" i="14"/>
  <c r="B171" i="14" s="1"/>
  <c r="F162" i="14"/>
  <c r="F154" i="14"/>
  <c r="B156" i="14" s="1"/>
  <c r="P12" i="14" s="1"/>
  <c r="F147" i="14"/>
  <c r="N12" i="14" s="1"/>
  <c r="F140" i="14"/>
  <c r="B142" i="14" s="1"/>
  <c r="F133" i="14"/>
  <c r="B121" i="14"/>
  <c r="F112" i="14"/>
  <c r="F103" i="14"/>
  <c r="B105" i="14" s="1"/>
  <c r="F96" i="14"/>
  <c r="F89" i="14"/>
  <c r="B91" i="14" s="1"/>
  <c r="F82" i="14"/>
  <c r="F74" i="14"/>
  <c r="B76" i="14" s="1"/>
  <c r="F67" i="14"/>
  <c r="F60" i="14"/>
  <c r="B62" i="14" s="1"/>
  <c r="F53" i="14"/>
  <c r="F45" i="14"/>
  <c r="B47" i="14" s="1"/>
  <c r="F38" i="14"/>
  <c r="F28" i="14"/>
  <c r="B30" i="14" s="1"/>
  <c r="F21" i="14"/>
  <c r="F14" i="14"/>
  <c r="B5" i="14" s="1"/>
  <c r="F7" i="14"/>
  <c r="M23" i="14" l="1"/>
  <c r="N10" i="14"/>
  <c r="N17" i="14"/>
  <c r="M25" i="14"/>
  <c r="P16" i="14"/>
  <c r="O27" i="14"/>
  <c r="P17" i="14"/>
  <c r="O25" i="14"/>
  <c r="P13" i="14"/>
  <c r="O22" i="14"/>
  <c r="N16" i="14"/>
  <c r="M27" i="14"/>
  <c r="M24" i="14"/>
  <c r="N14" i="14"/>
  <c r="N13" i="14"/>
  <c r="M22" i="14"/>
  <c r="O24" i="14"/>
  <c r="P14" i="14"/>
  <c r="O23" i="14"/>
  <c r="P10" i="14"/>
  <c r="N9" i="14"/>
  <c r="M26" i="14"/>
  <c r="B16" i="14"/>
  <c r="F5" i="14"/>
  <c r="M28" i="14" l="1"/>
  <c r="N18" i="14"/>
  <c r="L5" i="14" s="1"/>
  <c r="D5" i="14"/>
  <c r="O26" i="14"/>
  <c r="P9" i="14"/>
  <c r="P18" i="14" s="1"/>
  <c r="L4" i="14" s="1"/>
  <c r="I11" i="14"/>
  <c r="I13" i="14"/>
  <c r="Q12" i="14" l="1"/>
  <c r="Q15" i="14"/>
  <c r="Q11" i="14"/>
  <c r="P22" i="14"/>
  <c r="Q13" i="14"/>
  <c r="P24" i="14"/>
  <c r="Q17" i="14"/>
  <c r="P25" i="14"/>
  <c r="P27" i="14"/>
  <c r="Q16" i="14"/>
  <c r="Q14" i="14"/>
  <c r="P23" i="14"/>
  <c r="Q10" i="14"/>
  <c r="P26" i="14"/>
  <c r="O28" i="14"/>
  <c r="Q9" i="14"/>
  <c r="Q18" i="14" l="1"/>
  <c r="P28" i="14"/>
</calcChain>
</file>

<file path=xl/sharedStrings.xml><?xml version="1.0" encoding="utf-8"?>
<sst xmlns="http://schemas.openxmlformats.org/spreadsheetml/2006/main" count="1458" uniqueCount="383">
  <si>
    <t>LC Export Breakdown</t>
  </si>
  <si>
    <t>Total value of LCs</t>
  </si>
  <si>
    <t>Total of Remaining Value</t>
  </si>
  <si>
    <t>Total of INVs</t>
  </si>
  <si>
    <t>-</t>
  </si>
  <si>
    <t>LC #</t>
  </si>
  <si>
    <t>INVOICES</t>
  </si>
  <si>
    <t>Al Hashar Pharmacy Llc</t>
  </si>
  <si>
    <t>latest Date OS</t>
  </si>
  <si>
    <t xml:space="preserve">Oman </t>
  </si>
  <si>
    <t>Expiry date &amp; place Saudi Arabia</t>
  </si>
  <si>
    <t>Advising</t>
  </si>
  <si>
    <t>Issuing</t>
  </si>
  <si>
    <t>Term</t>
  </si>
  <si>
    <t>Issuance</t>
  </si>
  <si>
    <t>Value (USD)</t>
  </si>
  <si>
    <t xml:space="preserve">Remaining Balance </t>
  </si>
  <si>
    <t>2026/ILC/3378</t>
  </si>
  <si>
    <t>26/BMLCU/40464</t>
  </si>
  <si>
    <t>180 Days From TCN</t>
  </si>
  <si>
    <t>24-Oct-2025</t>
  </si>
  <si>
    <t>Bank</t>
  </si>
  <si>
    <t xml:space="preserve">Bank </t>
  </si>
  <si>
    <t>LSD</t>
  </si>
  <si>
    <t>Expiry</t>
  </si>
  <si>
    <t>Total INV Value</t>
  </si>
  <si>
    <t>Remaining Balance after released New Order</t>
  </si>
  <si>
    <t>BANK MUSCAT SA</t>
  </si>
  <si>
    <t>BANK MUSCAT OMAN</t>
  </si>
  <si>
    <t>31-Dec-2025</t>
  </si>
  <si>
    <t>LC Remaining Value</t>
  </si>
  <si>
    <t>#</t>
  </si>
  <si>
    <t>INV</t>
  </si>
  <si>
    <t>Value</t>
  </si>
  <si>
    <t>Date</t>
  </si>
  <si>
    <t>Status</t>
  </si>
  <si>
    <t>30-Jul-2026</t>
  </si>
  <si>
    <t>Done</t>
  </si>
  <si>
    <t>2026/ILC/3381</t>
  </si>
  <si>
    <t>26/BMLCU/40579</t>
  </si>
  <si>
    <t>28-Jan-2026</t>
  </si>
  <si>
    <t>15-Feb-2026</t>
  </si>
  <si>
    <t>04-Aug-2026</t>
  </si>
  <si>
    <t>2026/ILC/3388</t>
  </si>
  <si>
    <t>26/BMLCU/40801</t>
  </si>
  <si>
    <t>17-Feb-2026</t>
  </si>
  <si>
    <t>15-Mar-2026</t>
  </si>
  <si>
    <t>25-Aug-2026</t>
  </si>
  <si>
    <t>2026/ILC/3393</t>
  </si>
  <si>
    <t>26/BMLCU/40829</t>
  </si>
  <si>
    <t>22-Feb-2026</t>
  </si>
  <si>
    <t>Al Hikma Fzco Iraq</t>
  </si>
  <si>
    <t xml:space="preserve">Iraq </t>
  </si>
  <si>
    <t>TF2605000007JEDX</t>
  </si>
  <si>
    <t>OLCD001260139</t>
  </si>
  <si>
    <t>180 Days From Shipment</t>
  </si>
  <si>
    <t>18-Feb-2026</t>
  </si>
  <si>
    <t>INMA</t>
  </si>
  <si>
    <t>INT. DEV. BANK</t>
  </si>
  <si>
    <t>28-Apr-2026</t>
  </si>
  <si>
    <t>Samt For Medical Supplies</t>
  </si>
  <si>
    <t xml:space="preserve">Libya </t>
  </si>
  <si>
    <t>ELC26BH00427</t>
  </si>
  <si>
    <t>777LC09260770017</t>
  </si>
  <si>
    <t>60 Calendar Days After Presentation Of Complied Documents</t>
  </si>
  <si>
    <t>18-Mar-2026</t>
  </si>
  <si>
    <t>ABC</t>
  </si>
  <si>
    <t>JUMHOURIA BANK</t>
  </si>
  <si>
    <t>06-May-2026</t>
  </si>
  <si>
    <t>TF2608300001JEDX</t>
  </si>
  <si>
    <t>OLCD001260145</t>
  </si>
  <si>
    <t>27-Apr-2026</t>
  </si>
  <si>
    <t>Zenith Pharma</t>
  </si>
  <si>
    <t xml:space="preserve">Morocco </t>
  </si>
  <si>
    <t>EXWC020935</t>
  </si>
  <si>
    <t>TF2606933771</t>
  </si>
  <si>
    <t>180 Days From Shipment Beneficiary Draft</t>
  </si>
  <si>
    <t>10-Mar-2026</t>
  </si>
  <si>
    <t>ANB</t>
  </si>
  <si>
    <t>BANQUE POPULAIRE DE</t>
  </si>
  <si>
    <t>30-Oct-2026</t>
  </si>
  <si>
    <t>09-Oct-2026</t>
  </si>
  <si>
    <t>25.06.2026</t>
  </si>
  <si>
    <t>Lanamed Pharmaceuticals Import</t>
  </si>
  <si>
    <t>Ethiopia</t>
  </si>
  <si>
    <t>ELC/2026/00441QA</t>
  </si>
  <si>
    <t>AB1000ILC0074126</t>
  </si>
  <si>
    <t>At Sight</t>
  </si>
  <si>
    <t>24-Mar-2026</t>
  </si>
  <si>
    <t>QNB</t>
  </si>
  <si>
    <t>AWASH BANK</t>
  </si>
  <si>
    <t>01-Jun-2026</t>
  </si>
  <si>
    <t>Kare Pharmaceutical Plc</t>
  </si>
  <si>
    <t>ELC/2026/00478QA</t>
  </si>
  <si>
    <t>GDAIBDIMP0083/26</t>
  </si>
  <si>
    <t>25-Mar-2026</t>
  </si>
  <si>
    <t>GADAABANK</t>
  </si>
  <si>
    <t xml:space="preserve">2026/ILC/3407 </t>
  </si>
  <si>
    <t>26/BMLCU/41157</t>
  </si>
  <si>
    <t>2026/ILC/3417</t>
  </si>
  <si>
    <t>26/BMLCU/41321</t>
  </si>
  <si>
    <t>2026/ILC/3405</t>
  </si>
  <si>
    <t>26/BMLCU/41031</t>
  </si>
  <si>
    <t>TF2612500004JEDX</t>
  </si>
  <si>
    <t>OLCD001260151</t>
  </si>
  <si>
    <t>28.06.2026</t>
  </si>
  <si>
    <t>cancelled</t>
  </si>
  <si>
    <t>2026/ILC/3432</t>
  </si>
  <si>
    <t>OLCT260054</t>
  </si>
  <si>
    <t>BANK DHOFAR</t>
  </si>
  <si>
    <t>17-7-2026 Accepted 07.12.26</t>
  </si>
  <si>
    <t>Unicare Medical</t>
  </si>
  <si>
    <t xml:space="preserve">UAE </t>
  </si>
  <si>
    <t>ENSALA26000150</t>
  </si>
  <si>
    <t>AWAELCU260068</t>
  </si>
  <si>
    <t>90 Days From Dn</t>
  </si>
  <si>
    <t>ENBD</t>
  </si>
  <si>
    <t>20-6-2026</t>
  </si>
  <si>
    <t>26-7-2026</t>
  </si>
  <si>
    <t>Tracon Trading Plc</t>
  </si>
  <si>
    <t>ELCCB26001530POD001</t>
  </si>
  <si>
    <t>AB1000ILC0132126</t>
  </si>
  <si>
    <t>BSF</t>
  </si>
  <si>
    <t>24.06.2026</t>
  </si>
  <si>
    <t>21-7-2026</t>
  </si>
  <si>
    <t>El Hakeem For Importing Pharmaceutical</t>
  </si>
  <si>
    <t>Libya</t>
  </si>
  <si>
    <t>ELC26BH00858</t>
  </si>
  <si>
    <t>ILC310/159/26</t>
  </si>
  <si>
    <t>ALWAHA BANK</t>
  </si>
  <si>
    <t>ELC26BH00911</t>
  </si>
  <si>
    <t>777LC09261550003</t>
  </si>
  <si>
    <t>07.06.2026</t>
  </si>
  <si>
    <t>23.06.2026</t>
  </si>
  <si>
    <t xml:space="preserve">      </t>
  </si>
  <si>
    <t>JXP7000344</t>
  </si>
  <si>
    <t>OLCT260073</t>
  </si>
  <si>
    <t>RIYAD BANK</t>
  </si>
  <si>
    <t>No Invoice Yet</t>
  </si>
  <si>
    <t>AB1000ILC0193026</t>
  </si>
  <si>
    <t>AWASH BANK S.C</t>
  </si>
  <si>
    <t>EXWC021649</t>
  </si>
  <si>
    <t>777LC09261690004</t>
  </si>
  <si>
    <t>GUMHOURIA BANK</t>
  </si>
  <si>
    <t>26.07.2026</t>
  </si>
  <si>
    <t>Pending</t>
  </si>
  <si>
    <t>ELC/2026/00832QA</t>
  </si>
  <si>
    <t>001ISLC261730002</t>
  </si>
  <si>
    <t>ZAMZAM BANK S.C</t>
  </si>
  <si>
    <t>19.07.2026</t>
  </si>
  <si>
    <t>EXWC021916-ADV001</t>
  </si>
  <si>
    <t>CDI-26000613</t>
  </si>
  <si>
    <t>180 DAYS FROM SHIPMENT DATE</t>
  </si>
  <si>
    <t>CREDIT AGRICOLE DU  MAROC RABAT</t>
  </si>
  <si>
    <t>16.08.2026</t>
  </si>
  <si>
    <t>16.08.2028</t>
  </si>
  <si>
    <t>SIGHT</t>
  </si>
  <si>
    <t>19.08.2026</t>
  </si>
  <si>
    <t>LCI202600286</t>
  </si>
  <si>
    <t>150 DAYS FROM SHIPMENT DATE</t>
  </si>
  <si>
    <t>NBIQ KSA</t>
  </si>
  <si>
    <t>18.08.2026</t>
  </si>
  <si>
    <t>Customer Name</t>
  </si>
  <si>
    <t>Country</t>
  </si>
  <si>
    <t>Customer Code</t>
  </si>
  <si>
    <t>Alphamed</t>
  </si>
  <si>
    <t>Afaq Int. Marketing &amp; Import Free Zone</t>
  </si>
  <si>
    <t>Al Hashar Pharmacy (sgh)</t>
  </si>
  <si>
    <t>Al - Mojil Drug Co.</t>
  </si>
  <si>
    <t xml:space="preserve">Kuwait </t>
  </si>
  <si>
    <t>Ali Abdulwahab Al-mutawa Commercial</t>
  </si>
  <si>
    <t>Munir Sukhtian Group Company</t>
  </si>
  <si>
    <t xml:space="preserve">Jordan </t>
  </si>
  <si>
    <t>Roots Pharmaceutical Company</t>
  </si>
  <si>
    <t>Kuwait</t>
  </si>
  <si>
    <t>Hamad Town Pharmacy</t>
  </si>
  <si>
    <t xml:space="preserve">Bahrain </t>
  </si>
  <si>
    <t>Behzad Pharmacy</t>
  </si>
  <si>
    <t>Ebn Sina Medical</t>
  </si>
  <si>
    <t xml:space="preserve">Qatar </t>
  </si>
  <si>
    <t>Dawakum Llc</t>
  </si>
  <si>
    <t>Green International Medical Co. Wll</t>
  </si>
  <si>
    <t>Issac General Trading&amp; Contracting Co</t>
  </si>
  <si>
    <t>Modern Pharmaceutical Llc</t>
  </si>
  <si>
    <t>Wellcare Trading Wll</t>
  </si>
  <si>
    <t>Advance Pharma Co</t>
  </si>
  <si>
    <t>Al - Mojil Drug Co. (sgh)</t>
  </si>
  <si>
    <t>Al Hikma Fzco Yemen</t>
  </si>
  <si>
    <t xml:space="preserve">Yemen </t>
  </si>
  <si>
    <t>Al Kanz Company</t>
  </si>
  <si>
    <t>Ali Abdul Wahab Son's &amp; Comp. (sgh)</t>
  </si>
  <si>
    <t>Behzad Pharmacy (sgh)</t>
  </si>
  <si>
    <t>Dawakum Llc (sgh)</t>
  </si>
  <si>
    <t>Directorate Of Royal Medical Services</t>
  </si>
  <si>
    <t>First Scientific Bureau.</t>
  </si>
  <si>
    <t>Injaz Scientific Bureau</t>
  </si>
  <si>
    <t>Kimadia</t>
  </si>
  <si>
    <t>Mersaco  S.a.l.</t>
  </si>
  <si>
    <t xml:space="preserve">Lebanon </t>
  </si>
  <si>
    <t>Ufq Kurdistan Company General Trading</t>
  </si>
  <si>
    <t>Hamad Town Pharmacy (sgh )</t>
  </si>
  <si>
    <t>Ibn Sina Pharmacy Llc-oman</t>
  </si>
  <si>
    <t>At Pharma Spa</t>
  </si>
  <si>
    <t xml:space="preserve">Algeria </t>
  </si>
  <si>
    <t>Geo-pharm</t>
  </si>
  <si>
    <t>Biopharm Distribution Spa</t>
  </si>
  <si>
    <t>Al Badeel Al Tiby Company</t>
  </si>
  <si>
    <t>Al Dammam Pharma Trading Co. Ltd.</t>
  </si>
  <si>
    <t xml:space="preserve">Sudan </t>
  </si>
  <si>
    <t>Aman Health Care Trade</t>
  </si>
  <si>
    <t>Amba Pharmaceuticals Plc</t>
  </si>
  <si>
    <t>Beker General Business Pl</t>
  </si>
  <si>
    <t>Dejen G/meskel</t>
  </si>
  <si>
    <t>Eurl Societe Tabuk Algerie-fg</t>
  </si>
  <si>
    <t>Get-as International Plc</t>
  </si>
  <si>
    <t>Tabuk Factory</t>
  </si>
  <si>
    <t>Globicare Pharmaceuticals.co.ltd</t>
  </si>
  <si>
    <t>Nas Pharma Co. Ltd.</t>
  </si>
  <si>
    <t>Negadras General Trading Company Plc</t>
  </si>
  <si>
    <t>Pharmacie Centrale Des Hopitaux</t>
  </si>
  <si>
    <t>Sheker Pharmaceutical And Medical</t>
  </si>
  <si>
    <t>Tabuk Pharmaceutical Man-egypt</t>
  </si>
  <si>
    <t xml:space="preserve">Egypt </t>
  </si>
  <si>
    <t>Tabuk Pharmaceuticals Co. Ltd</t>
  </si>
  <si>
    <t>Tabuk Trading</t>
  </si>
  <si>
    <t>Pharmaoverseas Trading &amp; Distribution Of</t>
  </si>
  <si>
    <t>Agri Gates General Trading L.l.c</t>
  </si>
  <si>
    <t>Saja Allail Company</t>
  </si>
  <si>
    <t>Vecopharm</t>
  </si>
  <si>
    <t>Ldm(lab.de Diagnos. Maghrebin)</t>
  </si>
  <si>
    <t>Elkendi Pharmaceutical Mfg Co.</t>
  </si>
  <si>
    <t>Afghan Tolo</t>
  </si>
  <si>
    <t xml:space="preserve">Export Head </t>
  </si>
  <si>
    <t>Al Adeeb</t>
  </si>
  <si>
    <t>Al Arz Scientific Bureau</t>
  </si>
  <si>
    <t>Al Manhal Company</t>
  </si>
  <si>
    <t>Al Tafa'ol Trading Est.(sgh)</t>
  </si>
  <si>
    <t>Alphamed Co Abu Dhabi Ltd Llc   </t>
  </si>
  <si>
    <t>Alphamed Shj Est</t>
  </si>
  <si>
    <t>Al-tafa'ol Trading Est.</t>
  </si>
  <si>
    <t>Gb-pharm</t>
  </si>
  <si>
    <t>Alyaa Group Of Pharmacies</t>
  </si>
  <si>
    <t>Hospital Central Lar(hca)(ins)</t>
  </si>
  <si>
    <t>Hospital Militaire Reg.(ins.)</t>
  </si>
  <si>
    <t>Laboratoires Salem</t>
  </si>
  <si>
    <t>Central Bank Of Jordan</t>
  </si>
  <si>
    <t>Novapharm Trading</t>
  </si>
  <si>
    <t>Dat International Trading P.l.c.</t>
  </si>
  <si>
    <t>Pharmacie Centrale Des Hopitaux (pch)</t>
  </si>
  <si>
    <t>Dubai Police General H.q.</t>
  </si>
  <si>
    <t>Sarl Groupement Pharma. Europeen</t>
  </si>
  <si>
    <t>Sarl Pharmethic</t>
  </si>
  <si>
    <t>Sas Company</t>
  </si>
  <si>
    <t>Elshifa Phama.industries Co.</t>
  </si>
  <si>
    <t>Etab International Medical Plc</t>
  </si>
  <si>
    <t>Expert Scientific Bureau</t>
  </si>
  <si>
    <t>Tabuk Algeria Customer</t>
  </si>
  <si>
    <t>Ghq Directorate Of Royal Medical Service</t>
  </si>
  <si>
    <t>Hamad Medical Corporation</t>
  </si>
  <si>
    <t>Hesma Pharma.</t>
  </si>
  <si>
    <t>Theramaf   Sarl</t>
  </si>
  <si>
    <t>Al Ansar Marketing (amc)</t>
  </si>
  <si>
    <t>Arrow</t>
  </si>
  <si>
    <t xml:space="preserve">France </t>
  </si>
  <si>
    <t>Eg Labo</t>
  </si>
  <si>
    <t>Pan Pahrma</t>
  </si>
  <si>
    <t>Lifepharma Fze</t>
  </si>
  <si>
    <t>Maskati Pharmacy Co. W.l.l</t>
  </si>
  <si>
    <t>Altes Pharm Ltd</t>
  </si>
  <si>
    <t xml:space="preserve">Kazakhstan </t>
  </si>
  <si>
    <t>Medi-pro Suarl</t>
  </si>
  <si>
    <t xml:space="preserve">Tunisia </t>
  </si>
  <si>
    <t>Meti Trading Plc</t>
  </si>
  <si>
    <t>Ministry Of Health (sgh) Kuwait</t>
  </si>
  <si>
    <t>Ministry Of Health And Prevention Dubai</t>
  </si>
  <si>
    <t>Mullege Plc</t>
  </si>
  <si>
    <t>Munir Sukhtian Co. Ltd</t>
  </si>
  <si>
    <t>Kfk Medservice Plus Ltd.</t>
  </si>
  <si>
    <t>Komba-pharm "ltd"</t>
  </si>
  <si>
    <t>Pharmacie Centrale De Tunisie</t>
  </si>
  <si>
    <t>Shahdi Ltd.</t>
  </si>
  <si>
    <t>Pharmatic For Trading &amp; Investments</t>
  </si>
  <si>
    <t>Rama</t>
  </si>
  <si>
    <t>Droguerie Mercury S.a.l</t>
  </si>
  <si>
    <t>Averroes Pharmaceuticals Sdn. Bhd.</t>
  </si>
  <si>
    <t xml:space="preserve">Malaysia </t>
  </si>
  <si>
    <t>Centrala Farmaceuty. Cefarm</t>
  </si>
  <si>
    <t xml:space="preserve">Poland </t>
  </si>
  <si>
    <t>Ranbaxy Laboratories Limited</t>
  </si>
  <si>
    <t xml:space="preserve">Russia </t>
  </si>
  <si>
    <t>Antula Health Care Ab</t>
  </si>
  <si>
    <t xml:space="preserve">Sweden </t>
  </si>
  <si>
    <t>Evolan Pharma Ab</t>
  </si>
  <si>
    <t>Sheikh Khalifa Medical City</t>
  </si>
  <si>
    <t>Société Interpharma</t>
  </si>
  <si>
    <t>Meda - Ab</t>
  </si>
  <si>
    <t>Tabuk South Sudan</t>
  </si>
  <si>
    <t>The Director, Central Medical Stores Adm</t>
  </si>
  <si>
    <t>Abu Amin Group For Trade</t>
  </si>
  <si>
    <t>Ufq Kurdistan Company</t>
  </si>
  <si>
    <t>Bilquis Drug Store (yemen).</t>
  </si>
  <si>
    <t>Zemera Trading Plc</t>
  </si>
  <si>
    <t>Zydus France S.a.s</t>
  </si>
  <si>
    <t>France</t>
  </si>
  <si>
    <t>our</t>
  </si>
  <si>
    <t>there</t>
  </si>
  <si>
    <t>SA Banks</t>
  </si>
  <si>
    <t>Global Banks</t>
  </si>
  <si>
    <t>ADIB</t>
  </si>
  <si>
    <t xml:space="preserve">ARAB BANK </t>
  </si>
  <si>
    <t>BANK OF AFRICA</t>
  </si>
  <si>
    <t>BILAD</t>
  </si>
  <si>
    <t>FAB</t>
  </si>
  <si>
    <t>GIB</t>
  </si>
  <si>
    <t>NBI</t>
  </si>
  <si>
    <t>RAJHI BANK</t>
  </si>
  <si>
    <t>SAB</t>
  </si>
  <si>
    <t>SNB</t>
  </si>
  <si>
    <t>Payment Term</t>
  </si>
  <si>
    <t>INVOICE DETAIL — FILL-IN REGISTER</t>
  </si>
  <si>
    <t>Customer</t>
  </si>
  <si>
    <t>Invoice Number</t>
  </si>
  <si>
    <t>Invoice Value (USD)</t>
  </si>
  <si>
    <t>Presentation Date</t>
  </si>
  <si>
    <t>Collection Date</t>
  </si>
  <si>
    <t>Due Date</t>
  </si>
  <si>
    <t>Tracking #</t>
  </si>
  <si>
    <t>Notes</t>
  </si>
  <si>
    <t>1/2026</t>
  </si>
  <si>
    <t>AL HASHAR PHARMACY LLC</t>
  </si>
  <si>
    <t>Accepted</t>
  </si>
  <si>
    <t>2/2026</t>
  </si>
  <si>
    <t>Not yet accepted</t>
  </si>
  <si>
    <t>3/2026</t>
  </si>
  <si>
    <t>4/2026</t>
  </si>
  <si>
    <t>5/2026</t>
  </si>
  <si>
    <t>Al Hikma FZCO</t>
  </si>
  <si>
    <t>6/2026</t>
  </si>
  <si>
    <t>SMAT FOR MEDICAL SUPPLIES</t>
  </si>
  <si>
    <t>7/2026</t>
  </si>
  <si>
    <t>9/2026</t>
  </si>
  <si>
    <t>ZENITH PHARMA</t>
  </si>
  <si>
    <t>10/2026</t>
  </si>
  <si>
    <t>Lanamed Trading Plc</t>
  </si>
  <si>
    <t>11/2026</t>
  </si>
  <si>
    <t>Kare</t>
  </si>
  <si>
    <t>TOTAL</t>
  </si>
  <si>
    <t>LC Export Summary</t>
  </si>
  <si>
    <t>Metric</t>
  </si>
  <si>
    <t>Total LC Value (USD)</t>
  </si>
  <si>
    <t>Remaining Balance / Exposure (USD)</t>
  </si>
  <si>
    <t>Invoice Count</t>
  </si>
  <si>
    <t>LC Count</t>
  </si>
  <si>
    <t>Exposure by Customer and Country</t>
  </si>
  <si>
    <t>LC Value (USD)</t>
  </si>
  <si>
    <t>% of Exposure</t>
  </si>
  <si>
    <t>Oman</t>
  </si>
  <si>
    <t>Iraq</t>
  </si>
  <si>
    <t>UAE</t>
  </si>
  <si>
    <t>Morocco</t>
  </si>
  <si>
    <t>Total</t>
  </si>
  <si>
    <t>Exposure by Country</t>
  </si>
  <si>
    <t>Pres. Date</t>
  </si>
  <si>
    <t>Coll. Date</t>
  </si>
  <si>
    <t>2026/ILC/3407</t>
  </si>
  <si>
    <t>TOTAL INVOICE VALUE</t>
  </si>
  <si>
    <t>INVOICE PROCESS CONTROL</t>
  </si>
  <si>
    <t>As of</t>
  </si>
  <si>
    <t>Total Invoices</t>
  </si>
  <si>
    <t>Total Value</t>
  </si>
  <si>
    <t>Missing Presentation Date</t>
  </si>
  <si>
    <t>Missing Collection Date</t>
  </si>
  <si>
    <t>Missing Tracking #</t>
  </si>
  <si>
    <t>Pending and Overdue</t>
  </si>
  <si>
    <t>Workflow</t>
  </si>
  <si>
    <t>1. Enter presentation date</t>
  </si>
  <si>
    <t>2. Update status</t>
  </si>
  <si>
    <t>3. Add collection date</t>
  </si>
  <si>
    <t>4. Record tracking number</t>
  </si>
  <si>
    <t>5. Review pending items weekly</t>
  </si>
  <si>
    <t>Next Action</t>
  </si>
  <si>
    <t>CONSOLIDATED INVOICE PROCESS TRACKER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</si>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</sst>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\-yyyy;@"/>
    <numFmt numFmtId="165" formatCode="[$-409]dd\-mmm\-yy;@"/>
    <numFmt numFmtId="166" formatCode="_(* #,##0.00_);_(* \(#,##0.00\);_(* \-??_);_(@_)"/>
    <numFmt numFmtId="167" formatCode="0.0%"/>
    <numFmt numFmtId="168" formatCode="dd\-mmm\-yyyy"/>
  </numFmts>
  <fonts count="28" x14ac:knownFonts="1">
    <font>
      <sz val="11"/>
      <color theme="1"/>
      <name val="Calibri"/>
      <family val="2"/>
      <charset val="1"/>
    </font>
    <font>
      <b/>
      <sz val="9"/>
      <color rgb="FF1F3864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FF00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Aptos"/>
      <family val="2"/>
    </font>
    <font>
      <b/>
      <sz val="11"/>
      <color rgb="FF1F3864"/>
      <name val="Arial"/>
      <family val="2"/>
    </font>
    <font>
      <b/>
      <sz val="24"/>
      <color theme="0"/>
      <name val="Calibri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8"/>
      <name val="Calibri"/>
      <family val="2"/>
      <charset val="1"/>
    </font>
    <font>
      <b/>
      <sz val="9"/>
      <color rgb="FF000000"/>
      <name val="Arial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theme="1"/>
      <name val="Calibri"/>
    </font>
    <font>
      <sz val="11"/>
      <color rgb="FF222222"/>
      <name val="Calibri"/>
    </font>
    <font>
      <b/>
      <sz val="11"/>
      <color rgb="FFFFFFFF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7F6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BDD7EE"/>
        <bgColor rgb="FFB8CCE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89013336588644"/>
        <bgColor rgb="FFD6E4F0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double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double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double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double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double">
        <color rgb="FFD9D9D9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9">
    <xf numFmtId="0" fontId="0" fillId="0" borderId="0" xfId="0"/>
    <xf numFmtId="0" fontId="7" fillId="4" borderId="4" xfId="0" applyFont="1" applyFill="1" applyBorder="1" applyAlignment="1">
      <alignment vertical="center"/>
    </xf>
    <xf numFmtId="14" fontId="5" fillId="0" borderId="3" xfId="0" applyNumberFormat="1" applyFont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4" fontId="5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0" fontId="8" fillId="4" borderId="6" xfId="0" applyFont="1" applyFill="1" applyBorder="1" applyAlignment="1">
      <alignment vertical="center" wrapText="1"/>
    </xf>
    <xf numFmtId="4" fontId="6" fillId="0" borderId="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0" fontId="0" fillId="3" borderId="7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3" borderId="7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3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3" borderId="8" xfId="0" applyFill="1" applyBorder="1" applyAlignment="1">
      <alignment horizontal="left"/>
    </xf>
    <xf numFmtId="0" fontId="11" fillId="2" borderId="11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0" fillId="6" borderId="0" xfId="0" applyFill="1"/>
    <xf numFmtId="0" fontId="2" fillId="3" borderId="4" xfId="0" applyFont="1" applyFill="1" applyBorder="1" applyAlignment="1">
      <alignment horizontal="righ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right" vertical="center"/>
    </xf>
    <xf numFmtId="0" fontId="2" fillId="3" borderId="11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43" fontId="2" fillId="3" borderId="19" xfId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/>
    </xf>
    <xf numFmtId="0" fontId="3" fillId="3" borderId="24" xfId="0" applyFont="1" applyFill="1" applyBorder="1" applyAlignment="1">
      <alignment horizontal="left" vertical="center"/>
    </xf>
    <xf numFmtId="43" fontId="2" fillId="3" borderId="24" xfId="0" applyNumberFormat="1" applyFont="1" applyFill="1" applyBorder="1" applyAlignment="1">
      <alignment horizontal="left" vertical="center"/>
    </xf>
    <xf numFmtId="0" fontId="3" fillId="3" borderId="25" xfId="0" applyFont="1" applyFill="1" applyBorder="1" applyAlignment="1">
      <alignment horizontal="left" vertical="center"/>
    </xf>
    <xf numFmtId="0" fontId="3" fillId="3" borderId="26" xfId="0" applyFont="1" applyFill="1" applyBorder="1" applyAlignment="1">
      <alignment horizontal="left" vertical="center"/>
    </xf>
    <xf numFmtId="0" fontId="3" fillId="3" borderId="27" xfId="0" applyFont="1" applyFill="1" applyBorder="1" applyAlignment="1">
      <alignment horizontal="left" vertical="center"/>
    </xf>
    <xf numFmtId="43" fontId="2" fillId="3" borderId="27" xfId="0" applyNumberFormat="1" applyFont="1" applyFill="1" applyBorder="1" applyAlignment="1">
      <alignment horizontal="left" vertical="center"/>
    </xf>
    <xf numFmtId="0" fontId="3" fillId="3" borderId="28" xfId="0" applyFont="1" applyFill="1" applyBorder="1" applyAlignment="1">
      <alignment horizontal="left" vertical="center"/>
    </xf>
    <xf numFmtId="0" fontId="3" fillId="3" borderId="29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3" fontId="2" fillId="0" borderId="0" xfId="0" applyNumberFormat="1" applyFont="1" applyAlignment="1">
      <alignment horizontal="left" vertical="center"/>
    </xf>
    <xf numFmtId="165" fontId="15" fillId="7" borderId="1" xfId="0" applyNumberFormat="1" applyFont="1" applyFill="1" applyBorder="1" applyAlignment="1">
      <alignment horizontal="left" vertical="center"/>
    </xf>
    <xf numFmtId="0" fontId="15" fillId="7" borderId="23" xfId="0" applyFont="1" applyFill="1" applyBorder="1" applyAlignment="1">
      <alignment horizontal="left" vertical="center"/>
    </xf>
    <xf numFmtId="0" fontId="15" fillId="7" borderId="24" xfId="0" applyFont="1" applyFill="1" applyBorder="1" applyAlignment="1">
      <alignment horizontal="left" vertical="center"/>
    </xf>
    <xf numFmtId="166" fontId="14" fillId="7" borderId="24" xfId="0" applyNumberFormat="1" applyFont="1" applyFill="1" applyBorder="1" applyAlignment="1">
      <alignment horizontal="left" vertical="center"/>
    </xf>
    <xf numFmtId="0" fontId="15" fillId="7" borderId="25" xfId="0" applyFont="1" applyFill="1" applyBorder="1" applyAlignment="1">
      <alignment horizontal="left" vertical="center"/>
    </xf>
    <xf numFmtId="0" fontId="3" fillId="3" borderId="30" xfId="0" applyFont="1" applyFill="1" applyBorder="1" applyAlignment="1">
      <alignment horizontal="left" vertical="center"/>
    </xf>
    <xf numFmtId="0" fontId="3" fillId="3" borderId="31" xfId="0" applyFont="1" applyFill="1" applyBorder="1" applyAlignment="1">
      <alignment horizontal="left" vertical="center"/>
    </xf>
    <xf numFmtId="43" fontId="2" fillId="3" borderId="31" xfId="0" applyNumberFormat="1" applyFont="1" applyFill="1" applyBorder="1" applyAlignment="1">
      <alignment horizontal="left" vertical="center"/>
    </xf>
    <xf numFmtId="0" fontId="3" fillId="3" borderId="32" xfId="0" applyFont="1" applyFill="1" applyBorder="1" applyAlignment="1">
      <alignment horizontal="left" vertical="center"/>
    </xf>
    <xf numFmtId="0" fontId="3" fillId="3" borderId="33" xfId="0" applyFont="1" applyFill="1" applyBorder="1" applyAlignment="1">
      <alignment horizontal="left" vertical="center"/>
    </xf>
    <xf numFmtId="0" fontId="3" fillId="3" borderId="34" xfId="0" applyFont="1" applyFill="1" applyBorder="1" applyAlignment="1">
      <alignment horizontal="left" vertical="center"/>
    </xf>
    <xf numFmtId="43" fontId="2" fillId="3" borderId="34" xfId="0" applyNumberFormat="1" applyFont="1" applyFill="1" applyBorder="1" applyAlignment="1">
      <alignment horizontal="left" vertical="center"/>
    </xf>
    <xf numFmtId="0" fontId="3" fillId="3" borderId="35" xfId="0" applyFont="1" applyFill="1" applyBorder="1" applyAlignment="1">
      <alignment horizontal="left" vertical="center"/>
    </xf>
    <xf numFmtId="0" fontId="3" fillId="3" borderId="36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43" fontId="2" fillId="3" borderId="37" xfId="0" applyNumberFormat="1" applyFont="1" applyFill="1" applyBorder="1" applyAlignment="1">
      <alignment horizontal="left" vertical="center"/>
    </xf>
    <xf numFmtId="0" fontId="3" fillId="3" borderId="38" xfId="0" applyFont="1" applyFill="1" applyBorder="1" applyAlignment="1">
      <alignment horizontal="left" vertical="center"/>
    </xf>
    <xf numFmtId="14" fontId="15" fillId="7" borderId="24" xfId="0" applyNumberFormat="1" applyFont="1" applyFill="1" applyBorder="1" applyAlignment="1">
      <alignment horizontal="left" vertical="center"/>
    </xf>
    <xf numFmtId="15" fontId="15" fillId="7" borderId="24" xfId="0" applyNumberFormat="1" applyFont="1" applyFill="1" applyBorder="1" applyAlignment="1">
      <alignment horizontal="left" vertical="center"/>
    </xf>
    <xf numFmtId="15" fontId="15" fillId="7" borderId="25" xfId="0" applyNumberFormat="1" applyFont="1" applyFill="1" applyBorder="1" applyAlignment="1">
      <alignment horizontal="left" vertical="center"/>
    </xf>
    <xf numFmtId="14" fontId="3" fillId="3" borderId="29" xfId="0" applyNumberFormat="1" applyFont="1" applyFill="1" applyBorder="1" applyAlignment="1">
      <alignment horizontal="left" vertical="center"/>
    </xf>
    <xf numFmtId="15" fontId="3" fillId="3" borderId="28" xfId="0" applyNumberFormat="1" applyFont="1" applyFill="1" applyBorder="1" applyAlignment="1">
      <alignment horizontal="left" vertical="center"/>
    </xf>
    <xf numFmtId="14" fontId="3" fillId="3" borderId="27" xfId="0" applyNumberFormat="1" applyFont="1" applyFill="1" applyBorder="1" applyAlignment="1">
      <alignment horizontal="left" vertical="center"/>
    </xf>
    <xf numFmtId="14" fontId="3" fillId="3" borderId="24" xfId="0" applyNumberFormat="1" applyFont="1" applyFill="1" applyBorder="1" applyAlignment="1">
      <alignment horizontal="left" vertical="center"/>
    </xf>
    <xf numFmtId="14" fontId="3" fillId="3" borderId="28" xfId="0" applyNumberFormat="1" applyFont="1" applyFill="1" applyBorder="1" applyAlignment="1">
      <alignment horizontal="left" vertical="center"/>
    </xf>
    <xf numFmtId="0" fontId="18" fillId="0" borderId="0" xfId="0" applyFont="1"/>
    <xf numFmtId="0" fontId="21" fillId="8" borderId="41" xfId="0" applyFont="1" applyFill="1" applyBorder="1" applyAlignment="1">
      <alignment horizontal="left"/>
    </xf>
    <xf numFmtId="0" fontId="20" fillId="8" borderId="40" xfId="0" applyFont="1" applyFill="1" applyBorder="1" applyAlignment="1">
      <alignment horizontal="left"/>
    </xf>
    <xf numFmtId="0" fontId="20" fillId="8" borderId="43" xfId="0" applyFont="1" applyFill="1" applyBorder="1" applyAlignment="1">
      <alignment horizontal="left"/>
    </xf>
    <xf numFmtId="0" fontId="19" fillId="0" borderId="42" xfId="0" applyFont="1" applyBorder="1" applyAlignment="1">
      <alignment horizontal="left"/>
    </xf>
    <xf numFmtId="0" fontId="19" fillId="0" borderId="39" xfId="0" applyFont="1" applyBorder="1" applyAlignment="1">
      <alignment horizontal="left"/>
    </xf>
    <xf numFmtId="0" fontId="19" fillId="0" borderId="44" xfId="0" applyFont="1" applyBorder="1" applyAlignment="1">
      <alignment horizontal="left"/>
    </xf>
    <xf numFmtId="0" fontId="22" fillId="9" borderId="42" xfId="0" applyFont="1" applyFill="1" applyBorder="1" applyAlignment="1">
      <alignment horizontal="left"/>
    </xf>
    <xf numFmtId="0" fontId="22" fillId="9" borderId="39" xfId="0" applyFont="1" applyFill="1" applyBorder="1" applyAlignment="1">
      <alignment horizontal="left"/>
    </xf>
    <xf numFmtId="43" fontId="19" fillId="0" borderId="39" xfId="0" applyNumberFormat="1" applyFont="1" applyBorder="1" applyAlignment="1">
      <alignment horizontal="left"/>
    </xf>
    <xf numFmtId="0" fontId="20" fillId="8" borderId="42" xfId="0" applyFont="1" applyFill="1" applyBorder="1" applyAlignment="1">
      <alignment horizontal="left"/>
    </xf>
    <xf numFmtId="0" fontId="20" fillId="8" borderId="39" xfId="0" applyFont="1" applyFill="1" applyBorder="1" applyAlignment="1">
      <alignment horizontal="left"/>
    </xf>
    <xf numFmtId="0" fontId="20" fillId="8" borderId="44" xfId="0" applyFont="1" applyFill="1" applyBorder="1" applyAlignment="1">
      <alignment horizontal="left"/>
    </xf>
    <xf numFmtId="0" fontId="22" fillId="9" borderId="44" xfId="0" applyFont="1" applyFill="1" applyBorder="1" applyAlignment="1">
      <alignment horizontal="left"/>
    </xf>
    <xf numFmtId="0" fontId="22" fillId="0" borderId="46" xfId="0" applyFont="1" applyBorder="1" applyAlignment="1">
      <alignment horizontal="left"/>
    </xf>
    <xf numFmtId="0" fontId="22" fillId="0" borderId="47" xfId="0" applyFont="1" applyBorder="1" applyAlignment="1">
      <alignment horizontal="left"/>
    </xf>
    <xf numFmtId="43" fontId="22" fillId="0" borderId="47" xfId="0" applyNumberFormat="1" applyFont="1" applyBorder="1" applyAlignment="1">
      <alignment horizontal="left"/>
    </xf>
    <xf numFmtId="0" fontId="22" fillId="0" borderId="49" xfId="0" applyFont="1" applyBorder="1" applyAlignment="1">
      <alignment horizontal="left"/>
    </xf>
    <xf numFmtId="43" fontId="22" fillId="0" borderId="50" xfId="0" applyNumberFormat="1" applyFont="1" applyBorder="1" applyAlignment="1">
      <alignment horizontal="left"/>
    </xf>
    <xf numFmtId="0" fontId="19" fillId="0" borderId="45" xfId="0" applyFont="1" applyBorder="1" applyAlignment="1">
      <alignment horizontal="left"/>
    </xf>
    <xf numFmtId="1" fontId="19" fillId="0" borderId="39" xfId="0" applyNumberFormat="1" applyFont="1" applyBorder="1" applyAlignment="1">
      <alignment horizontal="left"/>
    </xf>
    <xf numFmtId="1" fontId="22" fillId="0" borderId="47" xfId="0" applyNumberFormat="1" applyFont="1" applyBorder="1" applyAlignment="1">
      <alignment horizontal="left"/>
    </xf>
    <xf numFmtId="167" fontId="19" fillId="0" borderId="44" xfId="0" applyNumberFormat="1" applyFont="1" applyBorder="1" applyAlignment="1">
      <alignment horizontal="left"/>
    </xf>
    <xf numFmtId="167" fontId="22" fillId="0" borderId="48" xfId="0" applyNumberFormat="1" applyFont="1" applyBorder="1" applyAlignment="1">
      <alignment horizontal="left"/>
    </xf>
    <xf numFmtId="1" fontId="22" fillId="0" borderId="50" xfId="0" applyNumberFormat="1" applyFont="1" applyBorder="1" applyAlignment="1">
      <alignment horizontal="left"/>
    </xf>
    <xf numFmtId="167" fontId="19" fillId="0" borderId="39" xfId="0" applyNumberFormat="1" applyFont="1" applyBorder="1" applyAlignment="1">
      <alignment horizontal="left"/>
    </xf>
    <xf numFmtId="167" fontId="22" fillId="0" borderId="50" xfId="0" applyNumberFormat="1" applyFont="1" applyBorder="1" applyAlignment="1">
      <alignment horizontal="left"/>
    </xf>
    <xf numFmtId="0" fontId="2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43" fontId="14" fillId="0" borderId="15" xfId="1" applyFont="1" applyBorder="1" applyAlignment="1">
      <alignment horizontal="right" vertical="center"/>
    </xf>
    <xf numFmtId="43" fontId="14" fillId="0" borderId="16" xfId="1" applyFont="1" applyBorder="1" applyAlignment="1">
      <alignment horizontal="right" vertical="center"/>
    </xf>
    <xf numFmtId="43" fontId="14" fillId="0" borderId="17" xfId="1" applyFont="1" applyBorder="1" applyAlignment="1">
      <alignment horizontal="right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43" fontId="14" fillId="0" borderId="15" xfId="1" applyFont="1" applyBorder="1" applyAlignment="1">
      <alignment horizontal="left" vertical="center"/>
    </xf>
    <xf numFmtId="43" fontId="14" fillId="0" borderId="16" xfId="1" applyFont="1" applyBorder="1" applyAlignment="1">
      <alignment horizontal="left" vertical="center"/>
    </xf>
    <xf numFmtId="43" fontId="14" fillId="0" borderId="17" xfId="1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left" vertical="center" wrapText="1"/>
    </xf>
    <xf numFmtId="43" fontId="13" fillId="3" borderId="12" xfId="0" applyNumberFormat="1" applyFont="1" applyFill="1" applyBorder="1" applyAlignment="1">
      <alignment horizontal="left" vertical="center" wrapText="1"/>
    </xf>
    <xf numFmtId="0" fontId="25" fillId="10" borderId="0" xfId="0" applyFont="1" applyFill="1" applyAlignment="1">
      <alignment horizontal="center"/>
    </xf>
    <xf numFmtId="0" fontId="26" fillId="13" borderId="0" xfId="0" applyFont="1" applyFill="1"/>
    <xf numFmtId="0" fontId="26" fillId="13" borderId="16" xfId="0" applyFont="1" applyFill="1" applyBorder="1"/>
    <xf numFmtId="4" fontId="0" fillId="0" borderId="0" xfId="0" applyNumberFormat="1"/>
    <xf numFmtId="168" fontId="0" fillId="0" borderId="0" xfId="0" applyNumberFormat="1"/>
    <xf numFmtId="0" fontId="0" fillId="0" borderId="0" xfId="0" applyNumberFormat="1"/>
    <xf numFmtId="0" fontId="26" fillId="0" borderId="51" xfId="0" applyFont="1" applyBorder="1"/>
    <xf numFmtId="4" fontId="26" fillId="0" borderId="51" xfId="0" applyNumberFormat="1" applyFont="1" applyBorder="1"/>
    <xf numFmtId="0" fontId="24" fillId="10" borderId="0" xfId="0" applyFont="1" applyFill="1"/>
    <xf numFmtId="0" fontId="0" fillId="12" borderId="0" xfId="0" applyFill="1"/>
    <xf numFmtId="0" fontId="27" fillId="14" borderId="0" xfId="0" applyFont="1" applyFill="1"/>
    <xf numFmtId="168" fontId="0" fillId="12" borderId="0" xfId="0" applyNumberFormat="1" applyFill="1"/>
    <xf numFmtId="49" fontId="23" fillId="11" borderId="0" xfId="0" applyNumberFormat="1" applyFont="1" applyFill="1" applyAlignment="1">
      <alignment horizontal="left"/>
    </xf>
    <xf numFmtId="0" fontId="23" fillId="11" borderId="0" xfId="0" applyNumberFormat="1" applyFont="1" applyFill="1" applyAlignment="1">
      <alignment horizontal="left"/>
    </xf>
    <xf numFmtId="15" fontId="23" fillId="11" borderId="0" xfId="0" applyNumberFormat="1" applyFont="1" applyFill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0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F6000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EAF3F8"/>
        </patternFill>
      </fill>
    </dxf>
    <dxf>
      <numFmt numFmtId="168" formatCode="dd\-mmm\-yyyy"/>
    </dxf>
    <dxf>
      <numFmt numFmtId="168" formatCode="dd\-mmm\-yyyy"/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EAF3F8"/>
        </patternFill>
      </fill>
    </dxf>
    <dxf>
      <numFmt numFmtId="168" formatCode="dd\-mmm\-yyyy"/>
      <fill>
        <patternFill patternType="solid">
          <fgColor indexed="64"/>
          <bgColor rgb="FFEAF3F8"/>
        </patternFill>
      </fill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  <dxf>
      <font>
        <b/>
        <i/>
        <color rgb="FF000000"/>
      </font>
      <fill>
        <patternFill patternType="gray0625">
          <bgColor theme="5" tint="0.59996337778862885"/>
        </patternFill>
      </fill>
    </dxf>
    <dxf>
      <font>
        <b/>
        <i/>
        <color rgb="FF000000"/>
      </font>
      <fill>
        <patternFill patternType="gray0625">
          <bgColor theme="6" tint="0.39994506668294322"/>
        </patternFill>
      </fill>
    </dxf>
    <dxf>
      <font>
        <b/>
        <i/>
        <color rgb="FF000000"/>
      </font>
      <fill>
        <patternFill patternType="gray0625">
          <bgColor rgb="FFF0F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8CCE4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BB975E-7244-4A3D-AB54-E26B2DC8C51C}" name="InvoiceProcessTable" displayName="InvoiceProcessTable" ref="A2:K62" totalsRowShown="0">
  <autoFilter ref="A2:K62" xr:uid="{C2BB975E-7244-4A3D-AB54-E26B2DC8C51C}"/>
  <tableColumns count="11">
    <tableColumn id="1" xr3:uid="{1731DC6B-AE84-4F56-978A-9EB9037F9F81}" name="LC #"/>
    <tableColumn id="2" xr3:uid="{7100933C-3375-4988-BD9E-C6EFFEC01249}" name="Customer"/>
    <tableColumn id="3" xr3:uid="{9CDE50EF-B11F-4643-908B-DFE9507CA539}" name="Invoice Number"/>
    <tableColumn id="4" xr3:uid="{D7EDB8C9-C49C-4E50-80DF-E607A81DD61D}" name="Value" dataDxfId="7"/>
    <tableColumn id="5" xr3:uid="{473DE007-8BB7-49A2-A1A6-D539164E9574}" name="Pres. Date" dataDxfId="6"/>
    <tableColumn id="6" xr3:uid="{CE046C23-A6B5-489E-A987-3B285B4156C3}" name="Status" dataDxfId="5"/>
    <tableColumn id="7" xr3:uid="{8B4674CB-C805-43BE-A5EF-1D20CEDFE21B}" name="Coll. Date" dataDxfId="4"/>
    <tableColumn id="8" xr3:uid="{5ACB8A59-E338-48A4-B1BC-A59B6D96A83D}" name="Due Date" dataDxfId="3"/>
    <tableColumn id="9" xr3:uid="{5A1F65F9-D7C2-46BA-BF37-706AE7553D41}" name="Tracking #" dataDxfId="2"/>
    <tableColumn id="10" xr3:uid="{0C1F7701-C1D6-4869-B034-58D50A3CC79A}" name="Notes" dataDxfId="1"/>
    <tableColumn id="11" xr3:uid="{F5E75630-27E8-4B73-B264-BAB59A31E066}" name="Next Action" dataDxfId="0">
      <calculatedColumnFormula>IF(F3="Accepted",IF(G3="","Add collection date","Complete"),IF(E3="","Enter presentation date",IF(I3="","Add tracking #","Follow up")))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8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  <wetp:taskpane dockstate="right" visibility="0" width="350" row="9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3C5EDBD-4028-422A-B4A3-18DA58C314C3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1ae030bf-5d4a-424b-bc0e-5ff4e96c127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3338F02-6A3F-4423-9B77-12CE46A1A62A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991fa850-e795-442d-a4a5-b9c07b35a6d2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131C5A9A-8D70-4BA8-9B9B-224B79FFD98B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E058-8E50-4862-9090-F1A88CFEEDAC}">
  <dimension ref="A1:Q416"/>
  <sheetViews>
    <sheetView showGridLines="0" tabSelected="1" topLeftCell="C10" zoomScaleNormal="100" workbookViewId="0">
      <selection activeCell="H16" sqref="H16"/>
    </sheetView>
  </sheetViews>
  <sheetFormatPr defaultRowHeight="15" x14ac:dyDescent="0.25"/>
  <cols>
    <col min="1" max="1" width="2.85546875" customWidth="1"/>
    <col min="2" max="2" width="19.85546875" bestFit="1" customWidth="1"/>
    <col min="3" max="3" width="20.140625" bestFit="1" customWidth="1"/>
    <col min="4" max="4" width="16.7109375" customWidth="1"/>
    <col min="5" max="5" width="11.5703125" customWidth="1"/>
    <col min="6" max="6" width="24.42578125" bestFit="1" customWidth="1"/>
    <col min="7" max="7" width="3.140625" customWidth="1"/>
    <col min="8" max="8" width="41.7109375" bestFit="1" customWidth="1"/>
    <col min="9" max="9" width="11.7109375" bestFit="1" customWidth="1"/>
    <col min="11" max="11" width="37.5703125" bestFit="1" customWidth="1"/>
    <col min="12" max="12" width="14.28515625" bestFit="1" customWidth="1"/>
    <col min="13" max="13" width="13.28515625" bestFit="1" customWidth="1"/>
    <col min="14" max="14" width="14.28515625" bestFit="1" customWidth="1"/>
    <col min="15" max="16" width="34" bestFit="1" customWidth="1"/>
    <col min="17" max="17" width="13.5703125" bestFit="1" customWidth="1"/>
  </cols>
  <sheetData>
    <row r="1" spans="1:17" ht="18.75" x14ac:dyDescent="0.3">
      <c r="B1" s="118" t="s">
        <v>0</v>
      </c>
      <c r="C1" s="118"/>
      <c r="D1" s="118"/>
      <c r="E1" s="118"/>
      <c r="F1" s="118"/>
      <c r="K1" s="73" t="s">
        <v>347</v>
      </c>
      <c r="L1" s="74"/>
      <c r="M1" s="74"/>
      <c r="N1" s="74"/>
      <c r="O1" s="74"/>
      <c r="P1" s="74"/>
      <c r="Q1" s="75"/>
    </row>
    <row r="2" spans="1:17" x14ac:dyDescent="0.25">
      <c r="B2" s="118"/>
      <c r="C2" s="118"/>
      <c r="D2" s="118"/>
      <c r="E2" s="118"/>
      <c r="F2" s="118"/>
      <c r="K2" s="79" t="s">
        <v>348</v>
      </c>
      <c r="L2" s="80" t="s">
        <v>33</v>
      </c>
      <c r="M2" s="77"/>
      <c r="N2" s="77"/>
      <c r="O2" s="77"/>
      <c r="P2" s="77"/>
      <c r="Q2" s="78"/>
    </row>
    <row r="3" spans="1:17" ht="15.75" thickBot="1" x14ac:dyDescent="0.3">
      <c r="K3" s="76" t="s">
        <v>349</v>
      </c>
      <c r="L3" s="81">
        <f>O18</f>
        <v>15049013.120000003</v>
      </c>
      <c r="M3" s="77"/>
      <c r="N3" s="77"/>
      <c r="O3" s="77"/>
      <c r="P3" s="77"/>
      <c r="Q3" s="78"/>
    </row>
    <row r="4" spans="1:17" x14ac:dyDescent="0.25">
      <c r="B4" s="119" t="s">
        <v>1</v>
      </c>
      <c r="C4" s="120"/>
      <c r="D4" s="120" t="s">
        <v>2</v>
      </c>
      <c r="E4" s="120"/>
      <c r="F4" s="19" t="s">
        <v>3</v>
      </c>
      <c r="K4" s="76" t="s">
        <v>350</v>
      </c>
      <c r="L4" s="81">
        <f>P18</f>
        <v>3994340.92</v>
      </c>
      <c r="M4" s="77"/>
      <c r="N4" s="77"/>
      <c r="O4" s="77"/>
      <c r="P4" s="77"/>
      <c r="Q4" s="78"/>
    </row>
    <row r="5" spans="1:17" ht="15.75" thickBot="1" x14ac:dyDescent="0.3">
      <c r="B5" s="121">
        <f>SUM(F14,F26,F43,F58,F72,F87,F101,F117,F138,F152,F167,F181,F195,F210,F228,F249,F263,F278,F292,F307,)</f>
        <v>10931242.800000001</v>
      </c>
      <c r="C5" s="122"/>
      <c r="D5" s="122">
        <f>SUM(B16,B30,B47,B62,B76,B91,B105,B121,B142,B156,B171,B185,B199,B214,B232,B253,B267,B282,B296,B311)</f>
        <v>2391975.0199999996</v>
      </c>
      <c r="E5" s="122"/>
      <c r="F5" s="20">
        <f>SUM(F7,F21,F38,F53,F67,F82,F96,F112,F133,F147,F162,F176,F190,F205,F223,F244,F258,F273,F287,F302,)</f>
        <v>47</v>
      </c>
      <c r="K5" s="76" t="s">
        <v>351</v>
      </c>
      <c r="L5" s="92">
        <f>N18</f>
        <v>55</v>
      </c>
      <c r="M5" s="77"/>
      <c r="N5" s="77"/>
      <c r="O5" s="77"/>
      <c r="P5" s="77"/>
      <c r="Q5" s="78"/>
    </row>
    <row r="6" spans="1:17" ht="15.75" thickBot="1" x14ac:dyDescent="0.3">
      <c r="K6" s="76" t="s">
        <v>352</v>
      </c>
      <c r="L6" s="92">
        <f>27</f>
        <v>27</v>
      </c>
      <c r="M6" s="77"/>
      <c r="N6" s="77"/>
      <c r="O6" s="77"/>
      <c r="P6" s="77"/>
      <c r="Q6" s="78"/>
    </row>
    <row r="7" spans="1:17" ht="15.75" thickBot="1" x14ac:dyDescent="0.3">
      <c r="A7" s="21" t="s">
        <v>4</v>
      </c>
      <c r="B7" s="22" t="s">
        <v>5</v>
      </c>
      <c r="C7" s="23">
        <v>1</v>
      </c>
      <c r="D7" s="24"/>
      <c r="E7" s="25" t="s">
        <v>6</v>
      </c>
      <c r="F7" s="26">
        <f>SUBTOTAL(2,B18:B22)</f>
        <v>1</v>
      </c>
      <c r="H7" s="117" t="str">
        <f>B8</f>
        <v>Al Hashar Pharmacy Llc</v>
      </c>
      <c r="I7" s="117"/>
      <c r="K7" s="82" t="s">
        <v>353</v>
      </c>
      <c r="L7" s="83"/>
      <c r="M7" s="83"/>
      <c r="N7" s="83"/>
      <c r="O7" s="83"/>
      <c r="P7" s="83"/>
      <c r="Q7" s="84"/>
    </row>
    <row r="8" spans="1:17" ht="15.75" thickBot="1" x14ac:dyDescent="0.3">
      <c r="B8" s="99" t="s">
        <v>7</v>
      </c>
      <c r="C8" s="100"/>
      <c r="D8" s="100"/>
      <c r="E8" s="100"/>
      <c r="F8" s="101"/>
      <c r="H8" s="1" t="str">
        <f>CONCATENATE("LC Value USD LC #",B12)</f>
        <v>LC Value USD LC #2026/ILC/3378</v>
      </c>
      <c r="I8" s="9">
        <f>F12</f>
        <v>93458.11</v>
      </c>
      <c r="K8" s="79" t="s">
        <v>320</v>
      </c>
      <c r="L8" s="80" t="s">
        <v>163</v>
      </c>
      <c r="M8" s="80" t="s">
        <v>352</v>
      </c>
      <c r="N8" s="80" t="s">
        <v>351</v>
      </c>
      <c r="O8" s="80" t="s">
        <v>354</v>
      </c>
      <c r="P8" s="80" t="s">
        <v>350</v>
      </c>
      <c r="Q8" s="85" t="s">
        <v>355</v>
      </c>
    </row>
    <row r="9" spans="1:17" ht="15.75" thickBot="1" x14ac:dyDescent="0.3">
      <c r="B9" s="99">
        <v>2000006</v>
      </c>
      <c r="C9" s="100"/>
      <c r="D9" s="100"/>
      <c r="E9" s="100"/>
      <c r="F9" s="101"/>
      <c r="H9" s="1" t="s">
        <v>8</v>
      </c>
      <c r="I9" s="2" t="str">
        <f>D14</f>
        <v>31-Dec-2025</v>
      </c>
      <c r="K9" s="76" t="s">
        <v>7</v>
      </c>
      <c r="L9" s="77" t="s">
        <v>356</v>
      </c>
      <c r="M9" s="92">
        <v>9</v>
      </c>
      <c r="N9" s="92">
        <f>SUM(F7,F21,F38,F53,F162,F176,F190,F223,F302)</f>
        <v>21</v>
      </c>
      <c r="O9" s="81">
        <f>SUM(F12,F26,F43,F58,F167,F181,F195,F228,F307)</f>
        <v>3495538.0200000005</v>
      </c>
      <c r="P9" s="81">
        <f>SUM(B16,B30,B47,B62,B171,B185,B199,B232,B311)</f>
        <v>2319642.1799999997</v>
      </c>
      <c r="Q9" s="94">
        <f t="shared" ref="Q9:Q17" si="0">IFERROR(P9/$L$4,0)</f>
        <v>0.58073214742020562</v>
      </c>
    </row>
    <row r="10" spans="1:17" ht="15.75" thickBot="1" x14ac:dyDescent="0.3">
      <c r="B10" s="111" t="s">
        <v>9</v>
      </c>
      <c r="C10" s="112"/>
      <c r="D10" s="112"/>
      <c r="E10" s="112"/>
      <c r="F10" s="113"/>
      <c r="H10" s="3" t="s">
        <v>10</v>
      </c>
      <c r="I10" s="2">
        <f>E14</f>
        <v>46043</v>
      </c>
      <c r="K10" s="76" t="s">
        <v>51</v>
      </c>
      <c r="L10" s="77" t="s">
        <v>357</v>
      </c>
      <c r="M10" s="92">
        <v>4</v>
      </c>
      <c r="N10" s="92">
        <f>SUM(F67,F96,F205,F402)</f>
        <v>12</v>
      </c>
      <c r="O10" s="81">
        <f>SUM(F72,F101,F210,F407)</f>
        <v>3884477.39</v>
      </c>
      <c r="P10" s="81">
        <f>SUM(B76,B105,B214,B411)</f>
        <v>459838.21999999974</v>
      </c>
      <c r="Q10" s="94">
        <f t="shared" si="0"/>
        <v>0.1151224267557011</v>
      </c>
    </row>
    <row r="11" spans="1:17" ht="15.75" thickBot="1" x14ac:dyDescent="0.3">
      <c r="B11" s="27" t="s">
        <v>11</v>
      </c>
      <c r="C11" s="28" t="s">
        <v>12</v>
      </c>
      <c r="D11" s="28" t="s">
        <v>13</v>
      </c>
      <c r="E11" s="28" t="s">
        <v>14</v>
      </c>
      <c r="F11" s="29" t="s">
        <v>15</v>
      </c>
      <c r="H11" s="4" t="s">
        <v>16</v>
      </c>
      <c r="I11" s="5">
        <f>B16</f>
        <v>0</v>
      </c>
      <c r="K11" s="76" t="s">
        <v>125</v>
      </c>
      <c r="L11" s="77" t="s">
        <v>126</v>
      </c>
      <c r="M11" s="92">
        <v>2</v>
      </c>
      <c r="N11" s="92">
        <f>SUM(F273,F316)</f>
        <v>1</v>
      </c>
      <c r="O11" s="81">
        <f>SUM(F278,F321)</f>
        <v>297750.2</v>
      </c>
      <c r="P11" s="81">
        <f>SUM(B282,B325)</f>
        <v>148875.35</v>
      </c>
      <c r="Q11" s="94">
        <f t="shared" si="0"/>
        <v>3.7271568196537416E-2</v>
      </c>
    </row>
    <row r="12" spans="1:17" ht="15.75" thickBot="1" x14ac:dyDescent="0.3">
      <c r="B12" s="30" t="s">
        <v>17</v>
      </c>
      <c r="C12" s="31" t="s">
        <v>18</v>
      </c>
      <c r="D12" s="32" t="s">
        <v>19</v>
      </c>
      <c r="E12" s="33" t="s">
        <v>20</v>
      </c>
      <c r="F12" s="34">
        <v>93458.11</v>
      </c>
      <c r="H12" s="7" t="str">
        <f>"We released# "&amp; (C18)</f>
        <v>We released# 91187251</v>
      </c>
      <c r="I12" s="8">
        <f>D18</f>
        <v>93458.11</v>
      </c>
      <c r="K12" s="76" t="s">
        <v>92</v>
      </c>
      <c r="L12" s="77" t="s">
        <v>84</v>
      </c>
      <c r="M12" s="92">
        <v>3</v>
      </c>
      <c r="N12" s="92">
        <f>SUM(F147,F358,F388)</f>
        <v>4</v>
      </c>
      <c r="O12" s="81">
        <f>SUM(F152,F363,F393)</f>
        <v>1154039.93</v>
      </c>
      <c r="P12" s="81">
        <f>SUM(B156,B367,B397)</f>
        <v>469381.78999999992</v>
      </c>
      <c r="Q12" s="94">
        <f t="shared" si="0"/>
        <v>0.11751169952714</v>
      </c>
    </row>
    <row r="13" spans="1:17" ht="15.75" thickBot="1" x14ac:dyDescent="0.3">
      <c r="B13" s="27" t="s">
        <v>21</v>
      </c>
      <c r="C13" s="28" t="s">
        <v>22</v>
      </c>
      <c r="D13" s="28" t="s">
        <v>23</v>
      </c>
      <c r="E13" s="28" t="s">
        <v>24</v>
      </c>
      <c r="F13" s="29" t="s">
        <v>25</v>
      </c>
      <c r="H13" s="4" t="s">
        <v>26</v>
      </c>
      <c r="I13" s="6">
        <f>B16</f>
        <v>0</v>
      </c>
      <c r="K13" s="76" t="s">
        <v>83</v>
      </c>
      <c r="L13" s="77" t="s">
        <v>84</v>
      </c>
      <c r="M13" s="92">
        <v>2</v>
      </c>
      <c r="N13" s="92">
        <f>SUM(F133,F330)</f>
        <v>2</v>
      </c>
      <c r="O13" s="81">
        <f>SUM(F138,F335)</f>
        <v>84619.99</v>
      </c>
      <c r="P13" s="81">
        <f>SUM(B142,B339)</f>
        <v>6399.1200000000026</v>
      </c>
      <c r="Q13" s="94">
        <f t="shared" si="0"/>
        <v>1.6020465273655217E-3</v>
      </c>
    </row>
    <row r="14" spans="1:17" x14ac:dyDescent="0.25">
      <c r="B14" s="30" t="s">
        <v>27</v>
      </c>
      <c r="C14" s="31" t="s">
        <v>28</v>
      </c>
      <c r="D14" s="32" t="s">
        <v>29</v>
      </c>
      <c r="E14" s="35">
        <v>46043</v>
      </c>
      <c r="F14" s="34">
        <f>SUM(D18)</f>
        <v>93458.11</v>
      </c>
      <c r="K14" s="76" t="s">
        <v>60</v>
      </c>
      <c r="L14" s="77" t="s">
        <v>126</v>
      </c>
      <c r="M14" s="92">
        <v>3</v>
      </c>
      <c r="N14" s="92">
        <f>SUM(F82,F287,F344)</f>
        <v>4</v>
      </c>
      <c r="O14" s="81">
        <f>SUM(F87,F292,F349)</f>
        <v>1253944.1499999999</v>
      </c>
      <c r="P14" s="81">
        <f>SUM(B91,B296,B353)</f>
        <v>0.95000000001164153</v>
      </c>
      <c r="Q14" s="94">
        <f t="shared" si="0"/>
        <v>2.3783648392527335E-7</v>
      </c>
    </row>
    <row r="15" spans="1:17" x14ac:dyDescent="0.25">
      <c r="B15" s="105" t="s">
        <v>30</v>
      </c>
      <c r="C15" s="106"/>
      <c r="D15" s="106"/>
      <c r="E15" s="106"/>
      <c r="F15" s="107"/>
      <c r="K15" s="76" t="s">
        <v>119</v>
      </c>
      <c r="L15" s="77" t="s">
        <v>84</v>
      </c>
      <c r="M15" s="92">
        <v>1</v>
      </c>
      <c r="N15" s="92">
        <f>SUM(F258)</f>
        <v>3</v>
      </c>
      <c r="O15" s="81">
        <f>SUM(F263)</f>
        <v>563636.54</v>
      </c>
      <c r="P15" s="81">
        <f>SUM(B267)</f>
        <v>15731.410000000033</v>
      </c>
      <c r="Q15" s="94">
        <f t="shared" si="0"/>
        <v>3.9384244647800454E-3</v>
      </c>
    </row>
    <row r="16" spans="1:17" x14ac:dyDescent="0.25">
      <c r="B16" s="114">
        <f>F12-F14</f>
        <v>0</v>
      </c>
      <c r="C16" s="115"/>
      <c r="D16" s="115"/>
      <c r="E16" s="115"/>
      <c r="F16" s="116"/>
      <c r="K16" s="76" t="s">
        <v>111</v>
      </c>
      <c r="L16" s="77" t="s">
        <v>358</v>
      </c>
      <c r="M16" s="92">
        <v>1</v>
      </c>
      <c r="N16" s="92">
        <f>SUM(F244)</f>
        <v>0</v>
      </c>
      <c r="O16" s="81">
        <f>SUM(F249)</f>
        <v>90596</v>
      </c>
      <c r="P16" s="81">
        <f>SUM(B253)</f>
        <v>0</v>
      </c>
      <c r="Q16" s="94">
        <f t="shared" si="0"/>
        <v>0</v>
      </c>
    </row>
    <row r="17" spans="1:17" ht="15.75" thickBot="1" x14ac:dyDescent="0.3">
      <c r="B17" s="27" t="s">
        <v>31</v>
      </c>
      <c r="C17" s="28" t="s">
        <v>32</v>
      </c>
      <c r="D17" s="28" t="s">
        <v>33</v>
      </c>
      <c r="E17" s="28" t="s">
        <v>34</v>
      </c>
      <c r="F17" s="29" t="s">
        <v>35</v>
      </c>
      <c r="K17" s="76" t="s">
        <v>72</v>
      </c>
      <c r="L17" s="77" t="s">
        <v>359</v>
      </c>
      <c r="M17" s="92">
        <v>2</v>
      </c>
      <c r="N17" s="92">
        <f>SUM(F112,F372)</f>
        <v>8</v>
      </c>
      <c r="O17" s="81">
        <f>SUM(F117,F377)</f>
        <v>4224410.9000000004</v>
      </c>
      <c r="P17" s="81">
        <f>SUM(B121,B381)</f>
        <v>574471.89999999967</v>
      </c>
      <c r="Q17" s="94">
        <f t="shared" si="0"/>
        <v>0.14382144927178617</v>
      </c>
    </row>
    <row r="18" spans="1:17" ht="16.5" thickTop="1" thickBot="1" x14ac:dyDescent="0.3">
      <c r="B18" s="36">
        <v>1</v>
      </c>
      <c r="C18" s="37">
        <v>91187251</v>
      </c>
      <c r="D18" s="38">
        <v>93458.11</v>
      </c>
      <c r="E18" s="37" t="s">
        <v>36</v>
      </c>
      <c r="F18" s="39" t="s">
        <v>37</v>
      </c>
      <c r="K18" s="86" t="s">
        <v>360</v>
      </c>
      <c r="L18" s="87"/>
      <c r="M18" s="93">
        <f>SUM(M9:M17)</f>
        <v>27</v>
      </c>
      <c r="N18" s="93">
        <f>SUM(N9:N17)</f>
        <v>55</v>
      </c>
      <c r="O18" s="88">
        <f>SUM(O9:O17)</f>
        <v>15049013.120000003</v>
      </c>
      <c r="P18" s="88">
        <f>SUM(P9:P17)</f>
        <v>3994340.92</v>
      </c>
      <c r="Q18" s="95">
        <f>SUM(Q9:Q17)</f>
        <v>0.99999999999999989</v>
      </c>
    </row>
    <row r="19" spans="1:17" x14ac:dyDescent="0.25">
      <c r="K19" s="76"/>
      <c r="L19" s="77"/>
      <c r="M19" s="77"/>
      <c r="N19" s="77"/>
      <c r="O19" s="77"/>
      <c r="P19" s="77"/>
      <c r="Q19" s="78"/>
    </row>
    <row r="20" spans="1:17" ht="15.75" thickBot="1" x14ac:dyDescent="0.3">
      <c r="K20" s="82" t="s">
        <v>361</v>
      </c>
      <c r="L20" s="83"/>
      <c r="M20" s="83"/>
      <c r="N20" s="83"/>
      <c r="O20" s="83"/>
      <c r="P20" s="83"/>
      <c r="Q20" s="78"/>
    </row>
    <row r="21" spans="1:17" x14ac:dyDescent="0.25">
      <c r="A21" s="21" t="s">
        <v>4</v>
      </c>
      <c r="B21" s="22" t="s">
        <v>5</v>
      </c>
      <c r="C21" s="23">
        <v>2</v>
      </c>
      <c r="D21" s="24"/>
      <c r="E21" s="25" t="s">
        <v>6</v>
      </c>
      <c r="F21" s="26">
        <f>SUBTOTAL(2,B32:B36)</f>
        <v>4</v>
      </c>
      <c r="K21" s="79" t="s">
        <v>163</v>
      </c>
      <c r="L21" s="80" t="s">
        <v>352</v>
      </c>
      <c r="M21" s="80" t="s">
        <v>351</v>
      </c>
      <c r="N21" s="80" t="s">
        <v>354</v>
      </c>
      <c r="O21" s="80" t="s">
        <v>350</v>
      </c>
      <c r="P21" s="80" t="s">
        <v>355</v>
      </c>
      <c r="Q21" s="78"/>
    </row>
    <row r="22" spans="1:17" x14ac:dyDescent="0.25">
      <c r="B22" s="99" t="s">
        <v>7</v>
      </c>
      <c r="C22" s="100"/>
      <c r="D22" s="100"/>
      <c r="E22" s="100"/>
      <c r="F22" s="101"/>
      <c r="K22" s="76" t="s">
        <v>84</v>
      </c>
      <c r="L22" s="92">
        <v>6</v>
      </c>
      <c r="M22" s="92">
        <f>SUM(F133,F147,F258,F330,F358,F388)</f>
        <v>9</v>
      </c>
      <c r="N22" s="81">
        <f>SUM(F138,F152,F263,F335,F363,F393)</f>
        <v>1802296.4600000004</v>
      </c>
      <c r="O22" s="81">
        <f>SUM(B142,B156,B267,B339,B367,B397)</f>
        <v>491512.31999999995</v>
      </c>
      <c r="P22" s="97">
        <f t="shared" ref="P22:P27" si="1">IFERROR(O22/$L$4,0)</f>
        <v>0.12305217051928556</v>
      </c>
      <c r="Q22" s="78"/>
    </row>
    <row r="23" spans="1:17" x14ac:dyDescent="0.25">
      <c r="B23" s="99">
        <v>2000006</v>
      </c>
      <c r="C23" s="100"/>
      <c r="D23" s="100"/>
      <c r="E23" s="100"/>
      <c r="F23" s="101"/>
      <c r="K23" s="76" t="s">
        <v>357</v>
      </c>
      <c r="L23" s="92">
        <v>4</v>
      </c>
      <c r="M23" s="92">
        <f>SUM(F67,F96,F205,F402)</f>
        <v>12</v>
      </c>
      <c r="N23" s="81">
        <f>SUM(F72,F101,F210,F407)</f>
        <v>3884477.39</v>
      </c>
      <c r="O23" s="81">
        <f>SUM(B76,B105,B214,B411)</f>
        <v>459838.21999999974</v>
      </c>
      <c r="P23" s="97">
        <f t="shared" si="1"/>
        <v>0.1151224267557011</v>
      </c>
      <c r="Q23" s="78"/>
    </row>
    <row r="24" spans="1:17" x14ac:dyDescent="0.25">
      <c r="B24" s="111" t="s">
        <v>9</v>
      </c>
      <c r="C24" s="112"/>
      <c r="D24" s="112"/>
      <c r="E24" s="112"/>
      <c r="F24" s="113"/>
      <c r="K24" s="76" t="s">
        <v>126</v>
      </c>
      <c r="L24" s="92">
        <v>5</v>
      </c>
      <c r="M24" s="92">
        <f>SUM(F82,F273,F287,F316,F344)</f>
        <v>5</v>
      </c>
      <c r="N24" s="81">
        <f>SUM(F87,F278,F292,F321,F349)</f>
        <v>1551694.35</v>
      </c>
      <c r="O24" s="81">
        <f>SUM(B91,B282,B296,B325,B353)</f>
        <v>148876.30000000002</v>
      </c>
      <c r="P24" s="97">
        <f t="shared" si="1"/>
        <v>3.727180603302134E-2</v>
      </c>
      <c r="Q24" s="78"/>
    </row>
    <row r="25" spans="1:17" x14ac:dyDescent="0.25">
      <c r="B25" s="27" t="s">
        <v>11</v>
      </c>
      <c r="C25" s="28" t="s">
        <v>12</v>
      </c>
      <c r="D25" s="28" t="s">
        <v>13</v>
      </c>
      <c r="E25" s="28" t="s">
        <v>14</v>
      </c>
      <c r="F25" s="29" t="s">
        <v>15</v>
      </c>
      <c r="K25" s="76" t="s">
        <v>359</v>
      </c>
      <c r="L25" s="92">
        <v>2</v>
      </c>
      <c r="M25" s="92">
        <f>SUM(F112,F372)</f>
        <v>8</v>
      </c>
      <c r="N25" s="81">
        <f>SUM(F117,F377)</f>
        <v>4224410.9000000004</v>
      </c>
      <c r="O25" s="81">
        <f>SUM(B121,B381)</f>
        <v>574471.89999999967</v>
      </c>
      <c r="P25" s="97">
        <f t="shared" si="1"/>
        <v>0.14382144927178617</v>
      </c>
      <c r="Q25" s="78"/>
    </row>
    <row r="26" spans="1:17" x14ac:dyDescent="0.25">
      <c r="B26" s="30" t="s">
        <v>38</v>
      </c>
      <c r="C26" s="31" t="s">
        <v>39</v>
      </c>
      <c r="D26" s="32" t="s">
        <v>19</v>
      </c>
      <c r="E26" s="33" t="s">
        <v>40</v>
      </c>
      <c r="F26" s="34">
        <v>237831.61</v>
      </c>
      <c r="K26" s="76" t="s">
        <v>356</v>
      </c>
      <c r="L26" s="92">
        <v>9</v>
      </c>
      <c r="M26" s="92">
        <f>SUM(F7,F21,F38,F53,F162,F176,F190,F223,F302)</f>
        <v>21</v>
      </c>
      <c r="N26" s="81">
        <f>SUM(F12,F26,F43,F58,F167,F181,F195,F228,F307)</f>
        <v>3495538.0200000005</v>
      </c>
      <c r="O26" s="81">
        <f>SUM(B16,B30,B47,B62,B171,B185,B199,B232,B311)</f>
        <v>2319642.1799999997</v>
      </c>
      <c r="P26" s="97">
        <f t="shared" si="1"/>
        <v>0.58073214742020562</v>
      </c>
      <c r="Q26" s="78"/>
    </row>
    <row r="27" spans="1:17" ht="15.75" thickBot="1" x14ac:dyDescent="0.3">
      <c r="B27" s="27" t="s">
        <v>21</v>
      </c>
      <c r="C27" s="28" t="s">
        <v>22</v>
      </c>
      <c r="D27" s="28" t="s">
        <v>23</v>
      </c>
      <c r="E27" s="28" t="s">
        <v>24</v>
      </c>
      <c r="F27" s="29" t="s">
        <v>25</v>
      </c>
      <c r="H27" s="138" t="s">
        <v>382</v>
      </c>
      <c r="K27" s="76" t="s">
        <v>358</v>
      </c>
      <c r="L27" s="92">
        <v>1</v>
      </c>
      <c r="M27" s="92">
        <f>SUM(F244)</f>
        <v>0</v>
      </c>
      <c r="N27" s="81">
        <f>SUM(F249)</f>
        <v>90596</v>
      </c>
      <c r="O27" s="81">
        <f>SUM(B253)</f>
        <v>0</v>
      </c>
      <c r="P27" s="97">
        <f t="shared" si="1"/>
        <v>0</v>
      </c>
      <c r="Q27" s="78"/>
    </row>
    <row r="28" spans="1:17" ht="15.75" thickTop="1" x14ac:dyDescent="0.25">
      <c r="B28" s="30" t="s">
        <v>27</v>
      </c>
      <c r="C28" s="31" t="s">
        <v>28</v>
      </c>
      <c r="D28" s="32" t="s">
        <v>41</v>
      </c>
      <c r="E28" s="35">
        <v>46089</v>
      </c>
      <c r="F28" s="34">
        <f>SUM(D32:D35)</f>
        <v>232613.66999999998</v>
      </c>
      <c r="K28" s="89" t="s">
        <v>360</v>
      </c>
      <c r="L28" s="96">
        <f>SUM(L22:L27)</f>
        <v>27</v>
      </c>
      <c r="M28" s="96">
        <f>SUM(M22:M27)</f>
        <v>55</v>
      </c>
      <c r="N28" s="90">
        <f>SUM(N22:N27)</f>
        <v>15049013.120000001</v>
      </c>
      <c r="O28" s="90">
        <f>SUM(O22:O27)</f>
        <v>3994340.919999999</v>
      </c>
      <c r="P28" s="98">
        <f>SUM(P22:P27)</f>
        <v>0.99999999999999978</v>
      </c>
      <c r="Q28" s="91"/>
    </row>
    <row r="29" spans="1:17" x14ac:dyDescent="0.25">
      <c r="B29" s="105" t="s">
        <v>30</v>
      </c>
      <c r="C29" s="106"/>
      <c r="D29" s="106"/>
      <c r="E29" s="106"/>
      <c r="F29" s="107"/>
      <c r="K29" s="72"/>
      <c r="L29" s="72"/>
      <c r="M29" s="72"/>
      <c r="N29" s="72"/>
      <c r="O29" s="72"/>
      <c r="P29" s="72"/>
      <c r="Q29" s="72"/>
    </row>
    <row r="30" spans="1:17" x14ac:dyDescent="0.25">
      <c r="B30" s="114">
        <f>F26-F28</f>
        <v>5217.9400000000023</v>
      </c>
      <c r="C30" s="115"/>
      <c r="D30" s="115"/>
      <c r="E30" s="115"/>
      <c r="F30" s="116"/>
      <c r="K30" s="72"/>
      <c r="L30" s="72"/>
      <c r="M30" s="72"/>
      <c r="N30" s="72"/>
      <c r="O30" s="72"/>
      <c r="P30" s="72"/>
      <c r="Q30" s="72"/>
    </row>
    <row r="31" spans="1:17" x14ac:dyDescent="0.25">
      <c r="B31" s="27" t="s">
        <v>31</v>
      </c>
      <c r="C31" s="28" t="s">
        <v>32</v>
      </c>
      <c r="D31" s="28" t="s">
        <v>33</v>
      </c>
      <c r="E31" s="28" t="s">
        <v>34</v>
      </c>
      <c r="F31" s="29" t="s">
        <v>35</v>
      </c>
      <c r="K31" s="72"/>
      <c r="L31" s="72"/>
      <c r="M31" s="72"/>
      <c r="N31" s="72"/>
      <c r="O31" s="72"/>
      <c r="P31" s="72"/>
      <c r="Q31" s="72"/>
    </row>
    <row r="32" spans="1:17" x14ac:dyDescent="0.25">
      <c r="B32" s="40">
        <v>1</v>
      </c>
      <c r="C32" s="41">
        <v>91189924</v>
      </c>
      <c r="D32" s="42">
        <v>57415.67</v>
      </c>
      <c r="E32" s="41" t="s">
        <v>42</v>
      </c>
      <c r="F32" s="43" t="s">
        <v>37</v>
      </c>
      <c r="K32" s="72"/>
      <c r="L32" s="72"/>
      <c r="M32" s="72"/>
      <c r="N32" s="72"/>
      <c r="O32" s="72"/>
      <c r="P32" s="72"/>
      <c r="Q32" s="72"/>
    </row>
    <row r="33" spans="1:6" x14ac:dyDescent="0.25">
      <c r="B33" s="40">
        <v>2</v>
      </c>
      <c r="C33" s="41">
        <v>91186097</v>
      </c>
      <c r="D33" s="42">
        <v>155195.44</v>
      </c>
      <c r="E33" s="41" t="s">
        <v>42</v>
      </c>
      <c r="F33" s="43" t="s">
        <v>37</v>
      </c>
    </row>
    <row r="34" spans="1:6" x14ac:dyDescent="0.25">
      <c r="B34" s="40">
        <v>3</v>
      </c>
      <c r="C34" s="41">
        <v>91189919</v>
      </c>
      <c r="D34" s="42">
        <v>1993.6</v>
      </c>
      <c r="E34" s="41" t="s">
        <v>42</v>
      </c>
      <c r="F34" s="43" t="s">
        <v>37</v>
      </c>
    </row>
    <row r="35" spans="1:6" ht="15.75" thickBot="1" x14ac:dyDescent="0.3">
      <c r="B35" s="36">
        <v>4</v>
      </c>
      <c r="C35" s="37">
        <v>91189901</v>
      </c>
      <c r="D35" s="38">
        <v>18008.96</v>
      </c>
      <c r="E35" s="37"/>
      <c r="F35" s="44"/>
    </row>
    <row r="37" spans="1:6" ht="15.75" thickBot="1" x14ac:dyDescent="0.3"/>
    <row r="38" spans="1:6" x14ac:dyDescent="0.25">
      <c r="A38" s="21" t="s">
        <v>4</v>
      </c>
      <c r="B38" s="22" t="s">
        <v>5</v>
      </c>
      <c r="C38" s="23">
        <v>3</v>
      </c>
      <c r="D38" s="24"/>
      <c r="E38" s="25" t="s">
        <v>6</v>
      </c>
      <c r="F38" s="26">
        <f>SUBTOTAL(2,B49:B53)</f>
        <v>2</v>
      </c>
    </row>
    <row r="39" spans="1:6" x14ac:dyDescent="0.25">
      <c r="B39" s="99" t="s">
        <v>7</v>
      </c>
      <c r="C39" s="100"/>
      <c r="D39" s="100"/>
      <c r="E39" s="100"/>
      <c r="F39" s="101"/>
    </row>
    <row r="40" spans="1:6" x14ac:dyDescent="0.25">
      <c r="B40" s="99">
        <v>2000006</v>
      </c>
      <c r="C40" s="100"/>
      <c r="D40" s="100"/>
      <c r="E40" s="100"/>
      <c r="F40" s="101"/>
    </row>
    <row r="41" spans="1:6" x14ac:dyDescent="0.25">
      <c r="B41" s="111" t="s">
        <v>9</v>
      </c>
      <c r="C41" s="112"/>
      <c r="D41" s="112"/>
      <c r="E41" s="112"/>
      <c r="F41" s="113"/>
    </row>
    <row r="42" spans="1:6" x14ac:dyDescent="0.25">
      <c r="B42" s="27" t="s">
        <v>11</v>
      </c>
      <c r="C42" s="28" t="s">
        <v>12</v>
      </c>
      <c r="D42" s="28" t="s">
        <v>13</v>
      </c>
      <c r="E42" s="28" t="s">
        <v>14</v>
      </c>
      <c r="F42" s="29" t="s">
        <v>15</v>
      </c>
    </row>
    <row r="43" spans="1:6" x14ac:dyDescent="0.25">
      <c r="B43" s="30" t="s">
        <v>43</v>
      </c>
      <c r="C43" s="31" t="s">
        <v>44</v>
      </c>
      <c r="D43" s="32" t="s">
        <v>19</v>
      </c>
      <c r="E43" s="33" t="s">
        <v>45</v>
      </c>
      <c r="F43" s="34">
        <v>414745.85</v>
      </c>
    </row>
    <row r="44" spans="1:6" x14ac:dyDescent="0.25">
      <c r="B44" s="27" t="s">
        <v>21</v>
      </c>
      <c r="C44" s="28" t="s">
        <v>22</v>
      </c>
      <c r="D44" s="28" t="s">
        <v>23</v>
      </c>
      <c r="E44" s="28" t="s">
        <v>24</v>
      </c>
      <c r="F44" s="29" t="s">
        <v>25</v>
      </c>
    </row>
    <row r="45" spans="1:6" x14ac:dyDescent="0.25">
      <c r="B45" s="30" t="s">
        <v>27</v>
      </c>
      <c r="C45" s="31" t="s">
        <v>28</v>
      </c>
      <c r="D45" s="32" t="s">
        <v>46</v>
      </c>
      <c r="E45" s="35">
        <v>46117</v>
      </c>
      <c r="F45" s="34">
        <f>SUM(D49:D52)</f>
        <v>414745.85</v>
      </c>
    </row>
    <row r="46" spans="1:6" x14ac:dyDescent="0.25">
      <c r="B46" s="105" t="s">
        <v>30</v>
      </c>
      <c r="C46" s="106"/>
      <c r="D46" s="106"/>
      <c r="E46" s="106"/>
      <c r="F46" s="107"/>
    </row>
    <row r="47" spans="1:6" x14ac:dyDescent="0.25">
      <c r="B47" s="114">
        <f>F43-F45</f>
        <v>0</v>
      </c>
      <c r="C47" s="115"/>
      <c r="D47" s="115"/>
      <c r="E47" s="115"/>
      <c r="F47" s="116"/>
    </row>
    <row r="48" spans="1:6" x14ac:dyDescent="0.25">
      <c r="B48" s="27" t="s">
        <v>31</v>
      </c>
      <c r="C48" s="28" t="s">
        <v>32</v>
      </c>
      <c r="D48" s="28" t="s">
        <v>33</v>
      </c>
      <c r="E48" s="28" t="s">
        <v>34</v>
      </c>
      <c r="F48" s="29" t="s">
        <v>35</v>
      </c>
    </row>
    <row r="49" spans="1:6" x14ac:dyDescent="0.25">
      <c r="B49" s="40">
        <v>1</v>
      </c>
      <c r="C49" s="41">
        <v>91195705</v>
      </c>
      <c r="D49" s="42">
        <v>355645.85</v>
      </c>
      <c r="E49" s="41" t="s">
        <v>47</v>
      </c>
      <c r="F49" s="43" t="s">
        <v>37</v>
      </c>
    </row>
    <row r="50" spans="1:6" ht="15.75" thickBot="1" x14ac:dyDescent="0.3">
      <c r="B50" s="36">
        <v>2</v>
      </c>
      <c r="C50" s="37">
        <v>91196156</v>
      </c>
      <c r="D50" s="38">
        <v>59100</v>
      </c>
      <c r="E50" s="37" t="s">
        <v>47</v>
      </c>
      <c r="F50" s="44" t="s">
        <v>37</v>
      </c>
    </row>
    <row r="52" spans="1:6" ht="15.75" thickBot="1" x14ac:dyDescent="0.3"/>
    <row r="53" spans="1:6" x14ac:dyDescent="0.25">
      <c r="A53" s="21" t="s">
        <v>4</v>
      </c>
      <c r="B53" s="22" t="s">
        <v>5</v>
      </c>
      <c r="C53" s="23">
        <v>4</v>
      </c>
      <c r="D53" s="24"/>
      <c r="E53" s="25" t="s">
        <v>6</v>
      </c>
      <c r="F53" s="26">
        <f>SUBTOTAL(2,B64:B68)</f>
        <v>1</v>
      </c>
    </row>
    <row r="54" spans="1:6" x14ac:dyDescent="0.25">
      <c r="B54" s="99" t="s">
        <v>7</v>
      </c>
      <c r="C54" s="100"/>
      <c r="D54" s="100"/>
      <c r="E54" s="100"/>
      <c r="F54" s="101"/>
    </row>
    <row r="55" spans="1:6" x14ac:dyDescent="0.25">
      <c r="B55" s="99">
        <v>2000006</v>
      </c>
      <c r="C55" s="100"/>
      <c r="D55" s="100"/>
      <c r="E55" s="100"/>
      <c r="F55" s="101"/>
    </row>
    <row r="56" spans="1:6" x14ac:dyDescent="0.25">
      <c r="B56" s="111" t="s">
        <v>9</v>
      </c>
      <c r="C56" s="112"/>
      <c r="D56" s="112"/>
      <c r="E56" s="112"/>
      <c r="F56" s="113"/>
    </row>
    <row r="57" spans="1:6" x14ac:dyDescent="0.25">
      <c r="B57" s="27" t="s">
        <v>11</v>
      </c>
      <c r="C57" s="28" t="s">
        <v>12</v>
      </c>
      <c r="D57" s="28" t="s">
        <v>13</v>
      </c>
      <c r="E57" s="28" t="s">
        <v>14</v>
      </c>
      <c r="F57" s="29" t="s">
        <v>15</v>
      </c>
    </row>
    <row r="58" spans="1:6" x14ac:dyDescent="0.25">
      <c r="B58" s="30" t="s">
        <v>48</v>
      </c>
      <c r="C58" s="31" t="s">
        <v>49</v>
      </c>
      <c r="D58" s="32" t="s">
        <v>19</v>
      </c>
      <c r="E58" s="33" t="s">
        <v>50</v>
      </c>
      <c r="F58" s="34">
        <v>172096.92</v>
      </c>
    </row>
    <row r="59" spans="1:6" x14ac:dyDescent="0.25">
      <c r="B59" s="27" t="s">
        <v>21</v>
      </c>
      <c r="C59" s="28" t="s">
        <v>22</v>
      </c>
      <c r="D59" s="28" t="s">
        <v>23</v>
      </c>
      <c r="E59" s="28" t="s">
        <v>24</v>
      </c>
      <c r="F59" s="29" t="s">
        <v>25</v>
      </c>
    </row>
    <row r="60" spans="1:6" x14ac:dyDescent="0.25">
      <c r="B60" s="30" t="s">
        <v>27</v>
      </c>
      <c r="C60" s="31" t="s">
        <v>28</v>
      </c>
      <c r="D60" s="32" t="s">
        <v>46</v>
      </c>
      <c r="E60" s="35">
        <v>46117</v>
      </c>
      <c r="F60" s="34">
        <f>SUM(D65:D65)</f>
        <v>0</v>
      </c>
    </row>
    <row r="61" spans="1:6" x14ac:dyDescent="0.25">
      <c r="B61" s="105" t="s">
        <v>30</v>
      </c>
      <c r="C61" s="106"/>
      <c r="D61" s="106"/>
      <c r="E61" s="106"/>
      <c r="F61" s="107"/>
    </row>
    <row r="62" spans="1:6" x14ac:dyDescent="0.25">
      <c r="B62" s="114">
        <f>F58-F60</f>
        <v>172096.92</v>
      </c>
      <c r="C62" s="115"/>
      <c r="D62" s="115"/>
      <c r="E62" s="115"/>
      <c r="F62" s="116"/>
    </row>
    <row r="63" spans="1:6" x14ac:dyDescent="0.25">
      <c r="B63" s="27" t="s">
        <v>31</v>
      </c>
      <c r="C63" s="28" t="s">
        <v>32</v>
      </c>
      <c r="D63" s="28" t="s">
        <v>33</v>
      </c>
      <c r="E63" s="28" t="s">
        <v>34</v>
      </c>
      <c r="F63" s="29" t="s">
        <v>35</v>
      </c>
    </row>
    <row r="64" spans="1:6" ht="15.75" thickBot="1" x14ac:dyDescent="0.3">
      <c r="B64" s="36">
        <v>1</v>
      </c>
      <c r="C64" s="37">
        <v>91197426</v>
      </c>
      <c r="D64" s="38">
        <v>172096.92</v>
      </c>
      <c r="E64" s="37"/>
      <c r="F64" s="39"/>
    </row>
    <row r="66" spans="1:6" ht="15.75" thickBot="1" x14ac:dyDescent="0.3"/>
    <row r="67" spans="1:6" x14ac:dyDescent="0.25">
      <c r="A67" s="21" t="s">
        <v>4</v>
      </c>
      <c r="B67" s="22" t="s">
        <v>5</v>
      </c>
      <c r="C67" s="23">
        <v>5</v>
      </c>
      <c r="D67" s="24"/>
      <c r="E67" s="25" t="s">
        <v>6</v>
      </c>
      <c r="F67" s="26">
        <f>SUBTOTAL(2,B78:B82)</f>
        <v>2</v>
      </c>
    </row>
    <row r="68" spans="1:6" x14ac:dyDescent="0.25">
      <c r="B68" s="99" t="s">
        <v>51</v>
      </c>
      <c r="C68" s="100"/>
      <c r="D68" s="100"/>
      <c r="E68" s="100"/>
      <c r="F68" s="101"/>
    </row>
    <row r="69" spans="1:6" x14ac:dyDescent="0.25">
      <c r="B69" s="99">
        <v>2000018</v>
      </c>
      <c r="C69" s="100"/>
      <c r="D69" s="100"/>
      <c r="E69" s="100"/>
      <c r="F69" s="101"/>
    </row>
    <row r="70" spans="1:6" x14ac:dyDescent="0.25">
      <c r="B70" s="111" t="s">
        <v>52</v>
      </c>
      <c r="C70" s="112"/>
      <c r="D70" s="112"/>
      <c r="E70" s="112"/>
      <c r="F70" s="113"/>
    </row>
    <row r="71" spans="1:6" x14ac:dyDescent="0.25">
      <c r="B71" s="27" t="s">
        <v>11</v>
      </c>
      <c r="C71" s="28" t="s">
        <v>12</v>
      </c>
      <c r="D71" s="28" t="s">
        <v>13</v>
      </c>
      <c r="E71" s="28" t="s">
        <v>14</v>
      </c>
      <c r="F71" s="29" t="s">
        <v>15</v>
      </c>
    </row>
    <row r="72" spans="1:6" x14ac:dyDescent="0.25">
      <c r="B72" s="30" t="s">
        <v>53</v>
      </c>
      <c r="C72" s="31" t="s">
        <v>54</v>
      </c>
      <c r="D72" s="32" t="s">
        <v>55</v>
      </c>
      <c r="E72" s="33" t="s">
        <v>56</v>
      </c>
      <c r="F72" s="34">
        <v>750804.98</v>
      </c>
    </row>
    <row r="73" spans="1:6" x14ac:dyDescent="0.25">
      <c r="B73" s="27" t="s">
        <v>21</v>
      </c>
      <c r="C73" s="28" t="s">
        <v>22</v>
      </c>
      <c r="D73" s="28" t="s">
        <v>23</v>
      </c>
      <c r="E73" s="28" t="s">
        <v>24</v>
      </c>
      <c r="F73" s="29" t="s">
        <v>25</v>
      </c>
    </row>
    <row r="74" spans="1:6" x14ac:dyDescent="0.25">
      <c r="B74" s="30" t="s">
        <v>57</v>
      </c>
      <c r="C74" s="31" t="s">
        <v>58</v>
      </c>
      <c r="D74" s="32" t="s">
        <v>59</v>
      </c>
      <c r="E74" s="35">
        <v>46154</v>
      </c>
      <c r="F74" s="34">
        <f>SUM(D78:D79)</f>
        <v>750802.3</v>
      </c>
    </row>
    <row r="75" spans="1:6" x14ac:dyDescent="0.25">
      <c r="B75" s="105" t="s">
        <v>30</v>
      </c>
      <c r="C75" s="106"/>
      <c r="D75" s="106"/>
      <c r="E75" s="106"/>
      <c r="F75" s="107"/>
    </row>
    <row r="76" spans="1:6" x14ac:dyDescent="0.25">
      <c r="B76" s="114">
        <f>F72-F74</f>
        <v>2.6799999999348074</v>
      </c>
      <c r="C76" s="115"/>
      <c r="D76" s="115"/>
      <c r="E76" s="115"/>
      <c r="F76" s="116"/>
    </row>
    <row r="77" spans="1:6" x14ac:dyDescent="0.25">
      <c r="B77" s="27" t="s">
        <v>31</v>
      </c>
      <c r="C77" s="28" t="s">
        <v>32</v>
      </c>
      <c r="D77" s="28" t="s">
        <v>33</v>
      </c>
      <c r="E77" s="28" t="s">
        <v>34</v>
      </c>
      <c r="F77" s="29" t="s">
        <v>35</v>
      </c>
    </row>
    <row r="78" spans="1:6" x14ac:dyDescent="0.25">
      <c r="B78" s="40">
        <v>1</v>
      </c>
      <c r="C78" s="41">
        <v>91200826</v>
      </c>
      <c r="D78" s="42">
        <v>650451</v>
      </c>
      <c r="E78" s="41"/>
      <c r="F78" s="43"/>
    </row>
    <row r="79" spans="1:6" ht="15.75" thickBot="1" x14ac:dyDescent="0.3">
      <c r="B79" s="36">
        <v>2</v>
      </c>
      <c r="C79" s="37">
        <v>91206415</v>
      </c>
      <c r="D79" s="38">
        <v>100351.3</v>
      </c>
      <c r="E79" s="37"/>
      <c r="F79" s="44"/>
    </row>
    <row r="81" spans="1:6" ht="15.75" thickBot="1" x14ac:dyDescent="0.3"/>
    <row r="82" spans="1:6" x14ac:dyDescent="0.25">
      <c r="A82" s="21" t="s">
        <v>4</v>
      </c>
      <c r="B82" s="22" t="s">
        <v>5</v>
      </c>
      <c r="C82" s="23">
        <v>6</v>
      </c>
      <c r="D82" s="24"/>
      <c r="E82" s="25" t="s">
        <v>6</v>
      </c>
      <c r="F82" s="26">
        <f>SUBTOTAL(2,B93:B97)</f>
        <v>1</v>
      </c>
    </row>
    <row r="83" spans="1:6" x14ac:dyDescent="0.25">
      <c r="B83" s="99" t="s">
        <v>60</v>
      </c>
      <c r="C83" s="100"/>
      <c r="D83" s="100"/>
      <c r="E83" s="100"/>
      <c r="F83" s="101"/>
    </row>
    <row r="84" spans="1:6" x14ac:dyDescent="0.25">
      <c r="B84" s="99">
        <v>2000012</v>
      </c>
      <c r="C84" s="100"/>
      <c r="D84" s="100"/>
      <c r="E84" s="100"/>
      <c r="F84" s="101"/>
    </row>
    <row r="85" spans="1:6" x14ac:dyDescent="0.25">
      <c r="B85" s="111" t="s">
        <v>61</v>
      </c>
      <c r="C85" s="112"/>
      <c r="D85" s="112"/>
      <c r="E85" s="112"/>
      <c r="F85" s="113"/>
    </row>
    <row r="86" spans="1:6" x14ac:dyDescent="0.25">
      <c r="B86" s="27" t="s">
        <v>11</v>
      </c>
      <c r="C86" s="28" t="s">
        <v>12</v>
      </c>
      <c r="D86" s="28" t="s">
        <v>13</v>
      </c>
      <c r="E86" s="28" t="s">
        <v>14</v>
      </c>
      <c r="F86" s="29" t="s">
        <v>15</v>
      </c>
    </row>
    <row r="87" spans="1:6" x14ac:dyDescent="0.25">
      <c r="B87" s="30" t="s">
        <v>62</v>
      </c>
      <c r="C87" s="31" t="s">
        <v>63</v>
      </c>
      <c r="D87" s="32" t="s">
        <v>64</v>
      </c>
      <c r="E87" s="33" t="s">
        <v>65</v>
      </c>
      <c r="F87" s="34">
        <v>200806.15</v>
      </c>
    </row>
    <row r="88" spans="1:6" x14ac:dyDescent="0.25">
      <c r="B88" s="27" t="s">
        <v>21</v>
      </c>
      <c r="C88" s="28" t="s">
        <v>22</v>
      </c>
      <c r="D88" s="28" t="s">
        <v>23</v>
      </c>
      <c r="E88" s="28" t="s">
        <v>24</v>
      </c>
      <c r="F88" s="29" t="s">
        <v>25</v>
      </c>
    </row>
    <row r="89" spans="1:6" x14ac:dyDescent="0.25">
      <c r="B89" s="30" t="s">
        <v>66</v>
      </c>
      <c r="C89" s="31" t="s">
        <v>67</v>
      </c>
      <c r="D89" s="32" t="s">
        <v>68</v>
      </c>
      <c r="E89" s="35">
        <v>46189</v>
      </c>
      <c r="F89" s="34">
        <f>SUM(D93:D94)</f>
        <v>200806.15</v>
      </c>
    </row>
    <row r="90" spans="1:6" x14ac:dyDescent="0.25">
      <c r="B90" s="105" t="s">
        <v>30</v>
      </c>
      <c r="C90" s="106"/>
      <c r="D90" s="106"/>
      <c r="E90" s="106"/>
      <c r="F90" s="107"/>
    </row>
    <row r="91" spans="1:6" x14ac:dyDescent="0.25">
      <c r="B91" s="114">
        <f>F87-F89</f>
        <v>0</v>
      </c>
      <c r="C91" s="115"/>
      <c r="D91" s="115"/>
      <c r="E91" s="115"/>
      <c r="F91" s="116"/>
    </row>
    <row r="92" spans="1:6" x14ac:dyDescent="0.25">
      <c r="B92" s="27" t="s">
        <v>31</v>
      </c>
      <c r="C92" s="28" t="s">
        <v>32</v>
      </c>
      <c r="D92" s="28" t="s">
        <v>33</v>
      </c>
      <c r="E92" s="28" t="s">
        <v>34</v>
      </c>
      <c r="F92" s="29" t="s">
        <v>35</v>
      </c>
    </row>
    <row r="93" spans="1:6" ht="15.75" thickBot="1" x14ac:dyDescent="0.3">
      <c r="B93" s="36">
        <v>1</v>
      </c>
      <c r="C93" s="37">
        <v>91199933</v>
      </c>
      <c r="D93" s="38">
        <v>200806.15</v>
      </c>
      <c r="E93" s="37"/>
      <c r="F93" s="39"/>
    </row>
    <row r="95" spans="1:6" ht="15.75" thickBot="1" x14ac:dyDescent="0.3"/>
    <row r="96" spans="1:6" x14ac:dyDescent="0.25">
      <c r="A96" s="21" t="s">
        <v>4</v>
      </c>
      <c r="B96" s="22" t="s">
        <v>5</v>
      </c>
      <c r="C96" s="23">
        <v>7</v>
      </c>
      <c r="D96" s="24"/>
      <c r="E96" s="25" t="s">
        <v>6</v>
      </c>
      <c r="F96" s="26">
        <f>SUBTOTAL(2,B107:B111)</f>
        <v>3</v>
      </c>
    </row>
    <row r="97" spans="1:6" x14ac:dyDescent="0.25">
      <c r="B97" s="99" t="s">
        <v>51</v>
      </c>
      <c r="C97" s="100"/>
      <c r="D97" s="100"/>
      <c r="E97" s="100"/>
      <c r="F97" s="101"/>
    </row>
    <row r="98" spans="1:6" x14ac:dyDescent="0.25">
      <c r="B98" s="99">
        <v>2000018</v>
      </c>
      <c r="C98" s="100"/>
      <c r="D98" s="100"/>
      <c r="E98" s="100"/>
      <c r="F98" s="101"/>
    </row>
    <row r="99" spans="1:6" x14ac:dyDescent="0.25">
      <c r="B99" s="111" t="s">
        <v>52</v>
      </c>
      <c r="C99" s="112"/>
      <c r="D99" s="112"/>
      <c r="E99" s="112"/>
      <c r="F99" s="113"/>
    </row>
    <row r="100" spans="1:6" x14ac:dyDescent="0.25">
      <c r="B100" s="27" t="s">
        <v>11</v>
      </c>
      <c r="C100" s="28" t="s">
        <v>12</v>
      </c>
      <c r="D100" s="28" t="s">
        <v>13</v>
      </c>
      <c r="E100" s="28" t="s">
        <v>14</v>
      </c>
      <c r="F100" s="29" t="s">
        <v>15</v>
      </c>
    </row>
    <row r="101" spans="1:6" x14ac:dyDescent="0.25">
      <c r="B101" s="30" t="s">
        <v>69</v>
      </c>
      <c r="C101" s="31" t="s">
        <v>70</v>
      </c>
      <c r="D101" s="32" t="s">
        <v>55</v>
      </c>
      <c r="E101" s="33" t="s">
        <v>65</v>
      </c>
      <c r="F101" s="34">
        <v>747352.2</v>
      </c>
    </row>
    <row r="102" spans="1:6" x14ac:dyDescent="0.25">
      <c r="B102" s="27" t="s">
        <v>21</v>
      </c>
      <c r="C102" s="28" t="s">
        <v>22</v>
      </c>
      <c r="D102" s="28" t="s">
        <v>23</v>
      </c>
      <c r="E102" s="28" t="s">
        <v>24</v>
      </c>
      <c r="F102" s="29" t="s">
        <v>25</v>
      </c>
    </row>
    <row r="103" spans="1:6" x14ac:dyDescent="0.25">
      <c r="B103" s="30" t="s">
        <v>57</v>
      </c>
      <c r="C103" s="31" t="s">
        <v>58</v>
      </c>
      <c r="D103" s="32" t="s">
        <v>71</v>
      </c>
      <c r="E103" s="35">
        <v>46154</v>
      </c>
      <c r="F103" s="34">
        <f>SUM(D107:D109)</f>
        <v>700495.28</v>
      </c>
    </row>
    <row r="104" spans="1:6" x14ac:dyDescent="0.25">
      <c r="B104" s="105" t="s">
        <v>30</v>
      </c>
      <c r="C104" s="106"/>
      <c r="D104" s="106"/>
      <c r="E104" s="106"/>
      <c r="F104" s="107"/>
    </row>
    <row r="105" spans="1:6" x14ac:dyDescent="0.25">
      <c r="B105" s="114">
        <f>F101-F103</f>
        <v>46856.919999999925</v>
      </c>
      <c r="C105" s="115"/>
      <c r="D105" s="115"/>
      <c r="E105" s="115"/>
      <c r="F105" s="116"/>
    </row>
    <row r="106" spans="1:6" x14ac:dyDescent="0.25">
      <c r="B106" s="27" t="s">
        <v>31</v>
      </c>
      <c r="C106" s="28" t="s">
        <v>32</v>
      </c>
      <c r="D106" s="28" t="s">
        <v>33</v>
      </c>
      <c r="E106" s="28" t="s">
        <v>34</v>
      </c>
      <c r="F106" s="29" t="s">
        <v>35</v>
      </c>
    </row>
    <row r="107" spans="1:6" x14ac:dyDescent="0.25">
      <c r="B107" s="40">
        <v>1</v>
      </c>
      <c r="C107" s="41">
        <v>91206417</v>
      </c>
      <c r="D107" s="42">
        <v>374620.58</v>
      </c>
      <c r="E107" s="41"/>
      <c r="F107" s="43"/>
    </row>
    <row r="108" spans="1:6" x14ac:dyDescent="0.25">
      <c r="B108" s="40">
        <v>2</v>
      </c>
      <c r="C108" s="41">
        <v>91213842</v>
      </c>
      <c r="D108" s="42">
        <v>286840.8</v>
      </c>
      <c r="E108" s="41"/>
      <c r="F108" s="43"/>
    </row>
    <row r="109" spans="1:6" ht="15.75" thickBot="1" x14ac:dyDescent="0.3">
      <c r="B109" s="36">
        <v>3</v>
      </c>
      <c r="C109" s="37">
        <v>91213847</v>
      </c>
      <c r="D109" s="38">
        <v>39033.9</v>
      </c>
      <c r="E109" s="37"/>
      <c r="F109" s="44"/>
    </row>
    <row r="110" spans="1:6" x14ac:dyDescent="0.25">
      <c r="B110" s="45"/>
      <c r="C110" s="45"/>
      <c r="D110" s="46"/>
      <c r="E110" s="45"/>
      <c r="F110" s="45"/>
    </row>
    <row r="111" spans="1:6" ht="15.75" thickBot="1" x14ac:dyDescent="0.3"/>
    <row r="112" spans="1:6" x14ac:dyDescent="0.25">
      <c r="A112" s="21" t="s">
        <v>4</v>
      </c>
      <c r="B112" s="22" t="s">
        <v>5</v>
      </c>
      <c r="C112" s="23">
        <v>8</v>
      </c>
      <c r="D112" s="24"/>
      <c r="E112" s="25" t="s">
        <v>6</v>
      </c>
      <c r="F112" s="26">
        <f>SUBTOTAL(2,B123:B127)</f>
        <v>5</v>
      </c>
    </row>
    <row r="113" spans="2:6" x14ac:dyDescent="0.25">
      <c r="B113" s="99" t="s">
        <v>72</v>
      </c>
      <c r="C113" s="100"/>
      <c r="D113" s="100"/>
      <c r="E113" s="100"/>
      <c r="F113" s="101"/>
    </row>
    <row r="114" spans="2:6" x14ac:dyDescent="0.25">
      <c r="B114" s="99">
        <v>2000022</v>
      </c>
      <c r="C114" s="100"/>
      <c r="D114" s="100"/>
      <c r="E114" s="100"/>
      <c r="F114" s="101"/>
    </row>
    <row r="115" spans="2:6" x14ac:dyDescent="0.25">
      <c r="B115" s="111" t="s">
        <v>73</v>
      </c>
      <c r="C115" s="112"/>
      <c r="D115" s="112"/>
      <c r="E115" s="112"/>
      <c r="F115" s="113"/>
    </row>
    <row r="116" spans="2:6" x14ac:dyDescent="0.25">
      <c r="B116" s="27" t="s">
        <v>11</v>
      </c>
      <c r="C116" s="28" t="s">
        <v>12</v>
      </c>
      <c r="D116" s="28" t="s">
        <v>13</v>
      </c>
      <c r="E116" s="28" t="s">
        <v>14</v>
      </c>
      <c r="F116" s="29" t="s">
        <v>15</v>
      </c>
    </row>
    <row r="117" spans="2:6" x14ac:dyDescent="0.25">
      <c r="B117" s="30" t="s">
        <v>74</v>
      </c>
      <c r="C117" s="31" t="s">
        <v>75</v>
      </c>
      <c r="D117" s="32" t="s">
        <v>76</v>
      </c>
      <c r="E117" s="33" t="s">
        <v>77</v>
      </c>
      <c r="F117" s="34">
        <v>2881945.35</v>
      </c>
    </row>
    <row r="118" spans="2:6" x14ac:dyDescent="0.25">
      <c r="B118" s="27" t="s">
        <v>21</v>
      </c>
      <c r="C118" s="28" t="s">
        <v>22</v>
      </c>
      <c r="D118" s="28" t="s">
        <v>23</v>
      </c>
      <c r="E118" s="28" t="s">
        <v>24</v>
      </c>
      <c r="F118" s="29" t="s">
        <v>25</v>
      </c>
    </row>
    <row r="119" spans="2:6" ht="24" x14ac:dyDescent="0.25">
      <c r="B119" s="30" t="s">
        <v>78</v>
      </c>
      <c r="C119" s="31" t="s">
        <v>79</v>
      </c>
      <c r="D119" s="32" t="s">
        <v>80</v>
      </c>
      <c r="E119" s="35">
        <v>46345</v>
      </c>
      <c r="F119" s="34">
        <f>SUM(D123:D130)</f>
        <v>2881942.1900000004</v>
      </c>
    </row>
    <row r="120" spans="2:6" x14ac:dyDescent="0.25">
      <c r="B120" s="105" t="s">
        <v>30</v>
      </c>
      <c r="C120" s="106"/>
      <c r="D120" s="106"/>
      <c r="E120" s="106"/>
      <c r="F120" s="107"/>
    </row>
    <row r="121" spans="2:6" ht="25.5" customHeight="1" x14ac:dyDescent="0.25">
      <c r="B121" s="114">
        <f>F117-F119</f>
        <v>3.1599999996833503</v>
      </c>
      <c r="C121" s="115"/>
      <c r="D121" s="115"/>
      <c r="E121" s="115"/>
      <c r="F121" s="116"/>
    </row>
    <row r="122" spans="2:6" x14ac:dyDescent="0.25">
      <c r="B122" s="27" t="s">
        <v>31</v>
      </c>
      <c r="C122" s="28" t="s">
        <v>32</v>
      </c>
      <c r="D122" s="28" t="s">
        <v>33</v>
      </c>
      <c r="E122" s="28" t="s">
        <v>34</v>
      </c>
      <c r="F122" s="29" t="s">
        <v>35</v>
      </c>
    </row>
    <row r="123" spans="2:6" x14ac:dyDescent="0.25">
      <c r="B123" s="40">
        <v>1</v>
      </c>
      <c r="C123" s="41">
        <v>91206606</v>
      </c>
      <c r="D123" s="42">
        <v>438144</v>
      </c>
      <c r="E123" s="41" t="s">
        <v>81</v>
      </c>
      <c r="F123" s="43" t="s">
        <v>37</v>
      </c>
    </row>
    <row r="124" spans="2:6" x14ac:dyDescent="0.25">
      <c r="B124" s="40">
        <v>2</v>
      </c>
      <c r="C124" s="41">
        <v>91206608</v>
      </c>
      <c r="D124" s="42">
        <v>310587.01</v>
      </c>
      <c r="E124" s="41" t="s">
        <v>81</v>
      </c>
      <c r="F124" s="43" t="s">
        <v>37</v>
      </c>
    </row>
    <row r="125" spans="2:6" x14ac:dyDescent="0.25">
      <c r="B125" s="40">
        <v>3</v>
      </c>
      <c r="C125" s="41">
        <v>91206609</v>
      </c>
      <c r="D125" s="42">
        <v>37391.839999999997</v>
      </c>
      <c r="E125" s="41" t="s">
        <v>81</v>
      </c>
      <c r="F125" s="43" t="s">
        <v>37</v>
      </c>
    </row>
    <row r="126" spans="2:6" x14ac:dyDescent="0.25">
      <c r="B126" s="40">
        <v>4</v>
      </c>
      <c r="C126" s="41">
        <v>91213275</v>
      </c>
      <c r="D126" s="42">
        <v>84657.9</v>
      </c>
      <c r="E126" s="41"/>
      <c r="F126" s="43"/>
    </row>
    <row r="127" spans="2:6" x14ac:dyDescent="0.25">
      <c r="B127" s="40">
        <v>5</v>
      </c>
      <c r="C127" s="41">
        <v>91213277</v>
      </c>
      <c r="D127" s="42">
        <v>592683.1</v>
      </c>
      <c r="E127" s="41"/>
      <c r="F127" s="43"/>
    </row>
    <row r="128" spans="2:6" x14ac:dyDescent="0.25">
      <c r="B128" s="40">
        <v>6</v>
      </c>
      <c r="C128" s="41">
        <v>91228018</v>
      </c>
      <c r="D128" s="42">
        <v>555970.78</v>
      </c>
      <c r="E128" s="41" t="s">
        <v>82</v>
      </c>
      <c r="F128" s="43"/>
    </row>
    <row r="129" spans="1:6" x14ac:dyDescent="0.25">
      <c r="B129" s="40">
        <v>7</v>
      </c>
      <c r="C129" s="41">
        <v>91228020</v>
      </c>
      <c r="D129" s="42">
        <v>700812.44</v>
      </c>
      <c r="E129" s="41" t="s">
        <v>82</v>
      </c>
      <c r="F129" s="43"/>
    </row>
    <row r="130" spans="1:6" ht="15.75" thickBot="1" x14ac:dyDescent="0.3">
      <c r="B130" s="36">
        <v>8</v>
      </c>
      <c r="C130" s="37">
        <v>91228458</v>
      </c>
      <c r="D130" s="38">
        <v>161695.12</v>
      </c>
      <c r="E130" s="37" t="s">
        <v>82</v>
      </c>
      <c r="F130" s="44"/>
    </row>
    <row r="132" spans="1:6" ht="15.75" thickBot="1" x14ac:dyDescent="0.3"/>
    <row r="133" spans="1:6" x14ac:dyDescent="0.25">
      <c r="A133" s="21" t="s">
        <v>4</v>
      </c>
      <c r="B133" s="22" t="s">
        <v>5</v>
      </c>
      <c r="C133" s="23">
        <v>9</v>
      </c>
      <c r="D133" s="24"/>
      <c r="E133" s="25" t="s">
        <v>6</v>
      </c>
      <c r="F133" s="26">
        <f>SUBTOTAL(2,B144:B145)</f>
        <v>1</v>
      </c>
    </row>
    <row r="134" spans="1:6" x14ac:dyDescent="0.25">
      <c r="B134" s="99" t="s">
        <v>83</v>
      </c>
      <c r="C134" s="100"/>
      <c r="D134" s="100"/>
      <c r="E134" s="100"/>
      <c r="F134" s="101"/>
    </row>
    <row r="135" spans="1:6" x14ac:dyDescent="0.25">
      <c r="B135" s="99">
        <v>2001209</v>
      </c>
      <c r="C135" s="100"/>
      <c r="D135" s="100"/>
      <c r="E135" s="100"/>
      <c r="F135" s="101"/>
    </row>
    <row r="136" spans="1:6" x14ac:dyDescent="0.25">
      <c r="B136" s="111" t="s">
        <v>84</v>
      </c>
      <c r="C136" s="112"/>
      <c r="D136" s="112"/>
      <c r="E136" s="112"/>
      <c r="F136" s="113"/>
    </row>
    <row r="137" spans="1:6" x14ac:dyDescent="0.25">
      <c r="B137" s="27" t="s">
        <v>11</v>
      </c>
      <c r="C137" s="28" t="s">
        <v>12</v>
      </c>
      <c r="D137" s="28" t="s">
        <v>13</v>
      </c>
      <c r="E137" s="28" t="s">
        <v>14</v>
      </c>
      <c r="F137" s="29" t="s">
        <v>15</v>
      </c>
    </row>
    <row r="138" spans="1:6" x14ac:dyDescent="0.25">
      <c r="B138" s="30" t="s">
        <v>85</v>
      </c>
      <c r="C138" s="31" t="s">
        <v>86</v>
      </c>
      <c r="D138" s="32" t="s">
        <v>87</v>
      </c>
      <c r="E138" s="33" t="s">
        <v>88</v>
      </c>
      <c r="F138" s="34">
        <v>52678.12</v>
      </c>
    </row>
    <row r="139" spans="1:6" x14ac:dyDescent="0.25">
      <c r="B139" s="27" t="s">
        <v>21</v>
      </c>
      <c r="C139" s="28" t="s">
        <v>22</v>
      </c>
      <c r="D139" s="28" t="s">
        <v>23</v>
      </c>
      <c r="E139" s="28" t="s">
        <v>24</v>
      </c>
      <c r="F139" s="29" t="s">
        <v>25</v>
      </c>
    </row>
    <row r="140" spans="1:6" x14ac:dyDescent="0.25">
      <c r="B140" s="30" t="s">
        <v>89</v>
      </c>
      <c r="C140" s="31" t="s">
        <v>90</v>
      </c>
      <c r="D140" s="32" t="s">
        <v>91</v>
      </c>
      <c r="E140" s="35">
        <v>46194</v>
      </c>
      <c r="F140" s="34">
        <f>SUM(D144:D145)</f>
        <v>46729</v>
      </c>
    </row>
    <row r="141" spans="1:6" x14ac:dyDescent="0.25">
      <c r="B141" s="105" t="s">
        <v>30</v>
      </c>
      <c r="C141" s="106"/>
      <c r="D141" s="106"/>
      <c r="E141" s="106"/>
      <c r="F141" s="107"/>
    </row>
    <row r="142" spans="1:6" x14ac:dyDescent="0.25">
      <c r="B142" s="114">
        <f>F138-F140</f>
        <v>5949.1200000000026</v>
      </c>
      <c r="C142" s="115"/>
      <c r="D142" s="115"/>
      <c r="E142" s="115"/>
      <c r="F142" s="116"/>
    </row>
    <row r="143" spans="1:6" x14ac:dyDescent="0.25">
      <c r="B143" s="27" t="s">
        <v>31</v>
      </c>
      <c r="C143" s="28" t="s">
        <v>32</v>
      </c>
      <c r="D143" s="28" t="s">
        <v>33</v>
      </c>
      <c r="E143" s="28" t="s">
        <v>34</v>
      </c>
      <c r="F143" s="29" t="s">
        <v>35</v>
      </c>
    </row>
    <row r="144" spans="1:6" ht="15.75" thickBot="1" x14ac:dyDescent="0.3">
      <c r="B144" s="36">
        <v>1</v>
      </c>
      <c r="C144" s="37">
        <v>91206748</v>
      </c>
      <c r="D144" s="38">
        <v>46729</v>
      </c>
      <c r="E144" s="37"/>
      <c r="F144" s="39"/>
    </row>
    <row r="146" spans="1:6" ht="15.75" thickBot="1" x14ac:dyDescent="0.3"/>
    <row r="147" spans="1:6" x14ac:dyDescent="0.25">
      <c r="A147" s="21" t="s">
        <v>4</v>
      </c>
      <c r="B147" s="22" t="s">
        <v>5</v>
      </c>
      <c r="C147" s="23">
        <v>10</v>
      </c>
      <c r="D147" s="24"/>
      <c r="E147" s="25" t="s">
        <v>6</v>
      </c>
      <c r="F147" s="26">
        <f>SUBTOTAL(2,B158:B159)</f>
        <v>2</v>
      </c>
    </row>
    <row r="148" spans="1:6" x14ac:dyDescent="0.25">
      <c r="B148" s="99" t="s">
        <v>92</v>
      </c>
      <c r="C148" s="100"/>
      <c r="D148" s="100"/>
      <c r="E148" s="100"/>
      <c r="F148" s="101"/>
    </row>
    <row r="149" spans="1:6" x14ac:dyDescent="0.25">
      <c r="B149" s="99">
        <v>2001332</v>
      </c>
      <c r="C149" s="100"/>
      <c r="D149" s="100"/>
      <c r="E149" s="100"/>
      <c r="F149" s="101"/>
    </row>
    <row r="150" spans="1:6" x14ac:dyDescent="0.25">
      <c r="B150" s="111" t="s">
        <v>84</v>
      </c>
      <c r="C150" s="112"/>
      <c r="D150" s="112"/>
      <c r="E150" s="112"/>
      <c r="F150" s="113"/>
    </row>
    <row r="151" spans="1:6" x14ac:dyDescent="0.25">
      <c r="B151" s="27" t="s">
        <v>11</v>
      </c>
      <c r="C151" s="28" t="s">
        <v>12</v>
      </c>
      <c r="D151" s="28" t="s">
        <v>13</v>
      </c>
      <c r="E151" s="28" t="s">
        <v>14</v>
      </c>
      <c r="F151" s="29" t="s">
        <v>15</v>
      </c>
    </row>
    <row r="152" spans="1:6" x14ac:dyDescent="0.25">
      <c r="B152" s="30" t="s">
        <v>93</v>
      </c>
      <c r="C152" s="31" t="s">
        <v>94</v>
      </c>
      <c r="D152" s="32" t="s">
        <v>87</v>
      </c>
      <c r="E152" s="33" t="s">
        <v>95</v>
      </c>
      <c r="F152" s="34">
        <v>475381.73</v>
      </c>
    </row>
    <row r="153" spans="1:6" x14ac:dyDescent="0.25">
      <c r="B153" s="27" t="s">
        <v>21</v>
      </c>
      <c r="C153" s="28" t="s">
        <v>22</v>
      </c>
      <c r="D153" s="28" t="s">
        <v>23</v>
      </c>
      <c r="E153" s="28" t="s">
        <v>24</v>
      </c>
      <c r="F153" s="29" t="s">
        <v>25</v>
      </c>
    </row>
    <row r="154" spans="1:6" x14ac:dyDescent="0.25">
      <c r="B154" s="30" t="s">
        <v>89</v>
      </c>
      <c r="C154" s="31" t="s">
        <v>96</v>
      </c>
      <c r="D154" s="32" t="s">
        <v>91</v>
      </c>
      <c r="E154" s="35">
        <v>46195</v>
      </c>
      <c r="F154" s="34">
        <f>SUM(D158:D159)</f>
        <v>475381.74</v>
      </c>
    </row>
    <row r="155" spans="1:6" x14ac:dyDescent="0.25">
      <c r="B155" s="105" t="s">
        <v>30</v>
      </c>
      <c r="C155" s="106"/>
      <c r="D155" s="106"/>
      <c r="E155" s="106"/>
      <c r="F155" s="107"/>
    </row>
    <row r="156" spans="1:6" x14ac:dyDescent="0.25">
      <c r="B156" s="114">
        <f>F152-F154</f>
        <v>-1.0000000009313226E-2</v>
      </c>
      <c r="C156" s="115"/>
      <c r="D156" s="115"/>
      <c r="E156" s="115"/>
      <c r="F156" s="116"/>
    </row>
    <row r="157" spans="1:6" x14ac:dyDescent="0.25">
      <c r="B157" s="27" t="s">
        <v>31</v>
      </c>
      <c r="C157" s="28" t="s">
        <v>32</v>
      </c>
      <c r="D157" s="28" t="s">
        <v>33</v>
      </c>
      <c r="E157" s="28" t="s">
        <v>34</v>
      </c>
      <c r="F157" s="29" t="s">
        <v>35</v>
      </c>
    </row>
    <row r="158" spans="1:6" x14ac:dyDescent="0.25">
      <c r="B158" s="40">
        <v>1</v>
      </c>
      <c r="C158" s="41">
        <v>91205843</v>
      </c>
      <c r="D158" s="42">
        <v>389958.34</v>
      </c>
      <c r="E158" s="41"/>
      <c r="F158" s="43"/>
    </row>
    <row r="159" spans="1:6" ht="15.75" thickBot="1" x14ac:dyDescent="0.3">
      <c r="B159" s="36">
        <v>2</v>
      </c>
      <c r="C159" s="37">
        <v>91214870</v>
      </c>
      <c r="D159" s="38">
        <v>85423.4</v>
      </c>
      <c r="E159" s="37"/>
      <c r="F159" s="44"/>
    </row>
    <row r="160" spans="1:6" x14ac:dyDescent="0.25">
      <c r="B160" s="45"/>
      <c r="C160" s="45"/>
      <c r="D160" s="46"/>
      <c r="E160" s="45"/>
      <c r="F160" s="45"/>
    </row>
    <row r="161" spans="1:6" ht="15.75" thickBot="1" x14ac:dyDescent="0.3"/>
    <row r="162" spans="1:6" x14ac:dyDescent="0.25">
      <c r="A162" s="21" t="s">
        <v>4</v>
      </c>
      <c r="B162" s="22" t="s">
        <v>5</v>
      </c>
      <c r="C162" s="23">
        <v>11</v>
      </c>
      <c r="D162" s="24"/>
      <c r="E162" s="25" t="s">
        <v>6</v>
      </c>
      <c r="F162" s="26">
        <f>SUBTOTAL(2,B173:B174)</f>
        <v>1</v>
      </c>
    </row>
    <row r="163" spans="1:6" x14ac:dyDescent="0.25">
      <c r="B163" s="99" t="s">
        <v>7</v>
      </c>
      <c r="C163" s="100"/>
      <c r="D163" s="100"/>
      <c r="E163" s="100"/>
      <c r="F163" s="101"/>
    </row>
    <row r="164" spans="1:6" x14ac:dyDescent="0.25">
      <c r="B164" s="99">
        <v>2000006</v>
      </c>
      <c r="C164" s="100"/>
      <c r="D164" s="100"/>
      <c r="E164" s="100"/>
      <c r="F164" s="101"/>
    </row>
    <row r="165" spans="1:6" x14ac:dyDescent="0.25">
      <c r="B165" s="111" t="s">
        <v>9</v>
      </c>
      <c r="C165" s="112"/>
      <c r="D165" s="112"/>
      <c r="E165" s="112"/>
      <c r="F165" s="113"/>
    </row>
    <row r="166" spans="1:6" x14ac:dyDescent="0.25">
      <c r="B166" s="27" t="s">
        <v>11</v>
      </c>
      <c r="C166" s="28" t="s">
        <v>12</v>
      </c>
      <c r="D166" s="28" t="s">
        <v>13</v>
      </c>
      <c r="E166" s="28" t="s">
        <v>14</v>
      </c>
      <c r="F166" s="29" t="s">
        <v>15</v>
      </c>
    </row>
    <row r="167" spans="1:6" x14ac:dyDescent="0.25">
      <c r="B167" s="30" t="s">
        <v>97</v>
      </c>
      <c r="C167" s="31" t="s">
        <v>98</v>
      </c>
      <c r="D167" s="32" t="s">
        <v>19</v>
      </c>
      <c r="E167" s="33">
        <v>46112</v>
      </c>
      <c r="F167" s="34">
        <v>335479.61</v>
      </c>
    </row>
    <row r="168" spans="1:6" x14ac:dyDescent="0.25">
      <c r="B168" s="27" t="s">
        <v>21</v>
      </c>
      <c r="C168" s="28" t="s">
        <v>22</v>
      </c>
      <c r="D168" s="28" t="s">
        <v>23</v>
      </c>
      <c r="E168" s="28" t="s">
        <v>24</v>
      </c>
      <c r="F168" s="29" t="s">
        <v>25</v>
      </c>
    </row>
    <row r="169" spans="1:6" x14ac:dyDescent="0.25">
      <c r="B169" s="30" t="s">
        <v>27</v>
      </c>
      <c r="C169" s="31" t="s">
        <v>28</v>
      </c>
      <c r="D169" s="47">
        <v>46127</v>
      </c>
      <c r="E169" s="35">
        <v>46148</v>
      </c>
      <c r="F169" s="34">
        <f>SUM(D173:D174)</f>
        <v>0</v>
      </c>
    </row>
    <row r="170" spans="1:6" x14ac:dyDescent="0.25">
      <c r="B170" s="105" t="s">
        <v>30</v>
      </c>
      <c r="C170" s="106"/>
      <c r="D170" s="106"/>
      <c r="E170" s="106"/>
      <c r="F170" s="107"/>
    </row>
    <row r="171" spans="1:6" x14ac:dyDescent="0.25">
      <c r="B171" s="114">
        <f>F167-F169</f>
        <v>335479.61</v>
      </c>
      <c r="C171" s="115"/>
      <c r="D171" s="115"/>
      <c r="E171" s="115"/>
      <c r="F171" s="116"/>
    </row>
    <row r="172" spans="1:6" x14ac:dyDescent="0.25">
      <c r="B172" s="27" t="s">
        <v>31</v>
      </c>
      <c r="C172" s="28" t="s">
        <v>32</v>
      </c>
      <c r="D172" s="28" t="s">
        <v>33</v>
      </c>
      <c r="E172" s="28" t="s">
        <v>34</v>
      </c>
      <c r="F172" s="29" t="s">
        <v>35</v>
      </c>
    </row>
    <row r="173" spans="1:6" ht="15.75" thickBot="1" x14ac:dyDescent="0.3">
      <c r="B173" s="36">
        <v>1</v>
      </c>
      <c r="C173" s="37">
        <v>91205473</v>
      </c>
      <c r="D173" s="38"/>
      <c r="E173" s="37"/>
      <c r="F173" s="39"/>
    </row>
    <row r="175" spans="1:6" ht="15.75" thickBot="1" x14ac:dyDescent="0.3"/>
    <row r="176" spans="1:6" x14ac:dyDescent="0.25">
      <c r="A176" s="21" t="s">
        <v>4</v>
      </c>
      <c r="B176" s="22" t="s">
        <v>5</v>
      </c>
      <c r="C176" s="23">
        <v>12</v>
      </c>
      <c r="D176" s="24"/>
      <c r="E176" s="25" t="s">
        <v>6</v>
      </c>
      <c r="F176" s="26">
        <f>SUBTOTAL(2,B187:B188)</f>
        <v>1</v>
      </c>
    </row>
    <row r="177" spans="1:6" x14ac:dyDescent="0.25">
      <c r="B177" s="99" t="s">
        <v>7</v>
      </c>
      <c r="C177" s="100"/>
      <c r="D177" s="100"/>
      <c r="E177" s="100"/>
      <c r="F177" s="101"/>
    </row>
    <row r="178" spans="1:6" x14ac:dyDescent="0.25">
      <c r="B178" s="99">
        <v>2000006</v>
      </c>
      <c r="C178" s="100"/>
      <c r="D178" s="100"/>
      <c r="E178" s="100"/>
      <c r="F178" s="101"/>
    </row>
    <row r="179" spans="1:6" x14ac:dyDescent="0.25">
      <c r="B179" s="111" t="s">
        <v>9</v>
      </c>
      <c r="C179" s="112"/>
      <c r="D179" s="112"/>
      <c r="E179" s="112"/>
      <c r="F179" s="113"/>
    </row>
    <row r="180" spans="1:6" x14ac:dyDescent="0.25">
      <c r="B180" s="27" t="s">
        <v>11</v>
      </c>
      <c r="C180" s="28" t="s">
        <v>12</v>
      </c>
      <c r="D180" s="28" t="s">
        <v>13</v>
      </c>
      <c r="E180" s="28" t="s">
        <v>14</v>
      </c>
      <c r="F180" s="29" t="s">
        <v>15</v>
      </c>
    </row>
    <row r="181" spans="1:6" x14ac:dyDescent="0.25">
      <c r="B181" s="30" t="s">
        <v>99</v>
      </c>
      <c r="C181" s="31" t="s">
        <v>100</v>
      </c>
      <c r="D181" s="32" t="s">
        <v>19</v>
      </c>
      <c r="E181" s="33">
        <v>46134</v>
      </c>
      <c r="F181" s="34">
        <v>341988.22</v>
      </c>
    </row>
    <row r="182" spans="1:6" x14ac:dyDescent="0.25">
      <c r="B182" s="27" t="s">
        <v>21</v>
      </c>
      <c r="C182" s="28" t="s">
        <v>22</v>
      </c>
      <c r="D182" s="28" t="s">
        <v>23</v>
      </c>
      <c r="E182" s="28" t="s">
        <v>24</v>
      </c>
      <c r="F182" s="29" t="s">
        <v>25</v>
      </c>
    </row>
    <row r="183" spans="1:6" x14ac:dyDescent="0.25">
      <c r="B183" s="30" t="s">
        <v>27</v>
      </c>
      <c r="C183" s="31" t="s">
        <v>28</v>
      </c>
      <c r="D183" s="47">
        <v>46157</v>
      </c>
      <c r="E183" s="35">
        <v>46178</v>
      </c>
      <c r="F183" s="34">
        <f>SUM(D187:D188)</f>
        <v>0</v>
      </c>
    </row>
    <row r="184" spans="1:6" x14ac:dyDescent="0.25">
      <c r="B184" s="105" t="s">
        <v>30</v>
      </c>
      <c r="C184" s="106"/>
      <c r="D184" s="106"/>
      <c r="E184" s="106"/>
      <c r="F184" s="107"/>
    </row>
    <row r="185" spans="1:6" x14ac:dyDescent="0.25">
      <c r="B185" s="114">
        <f>F181-F183</f>
        <v>341988.22</v>
      </c>
      <c r="C185" s="115"/>
      <c r="D185" s="115"/>
      <c r="E185" s="115"/>
      <c r="F185" s="116"/>
    </row>
    <row r="186" spans="1:6" x14ac:dyDescent="0.25">
      <c r="B186" s="27" t="s">
        <v>31</v>
      </c>
      <c r="C186" s="28" t="s">
        <v>32</v>
      </c>
      <c r="D186" s="28" t="s">
        <v>33</v>
      </c>
      <c r="E186" s="28" t="s">
        <v>34</v>
      </c>
      <c r="F186" s="29" t="s">
        <v>35</v>
      </c>
    </row>
    <row r="187" spans="1:6" ht="15.75" thickBot="1" x14ac:dyDescent="0.3">
      <c r="B187" s="36">
        <v>1</v>
      </c>
      <c r="C187" s="37">
        <v>91213468</v>
      </c>
      <c r="D187" s="38"/>
      <c r="E187" s="37"/>
      <c r="F187" s="39"/>
    </row>
    <row r="189" spans="1:6" ht="15.75" thickBot="1" x14ac:dyDescent="0.3"/>
    <row r="190" spans="1:6" x14ac:dyDescent="0.25">
      <c r="A190" s="21" t="s">
        <v>4</v>
      </c>
      <c r="B190" s="22" t="s">
        <v>5</v>
      </c>
      <c r="C190" s="23">
        <v>13</v>
      </c>
      <c r="D190" s="24"/>
      <c r="E190" s="25" t="s">
        <v>6</v>
      </c>
      <c r="F190" s="26">
        <f>SUBTOTAL(2,B201:B202)</f>
        <v>2</v>
      </c>
    </row>
    <row r="191" spans="1:6" x14ac:dyDescent="0.25">
      <c r="B191" s="99" t="s">
        <v>7</v>
      </c>
      <c r="C191" s="100"/>
      <c r="D191" s="100"/>
      <c r="E191" s="100"/>
      <c r="F191" s="101"/>
    </row>
    <row r="192" spans="1:6" x14ac:dyDescent="0.25">
      <c r="B192" s="99">
        <v>2000006</v>
      </c>
      <c r="C192" s="100"/>
      <c r="D192" s="100"/>
      <c r="E192" s="100"/>
      <c r="F192" s="101"/>
    </row>
    <row r="193" spans="1:6" x14ac:dyDescent="0.25">
      <c r="B193" s="111" t="s">
        <v>9</v>
      </c>
      <c r="C193" s="112"/>
      <c r="D193" s="112"/>
      <c r="E193" s="112"/>
      <c r="F193" s="113"/>
    </row>
    <row r="194" spans="1:6" x14ac:dyDescent="0.25">
      <c r="B194" s="27" t="s">
        <v>11</v>
      </c>
      <c r="C194" s="28" t="s">
        <v>12</v>
      </c>
      <c r="D194" s="28" t="s">
        <v>13</v>
      </c>
      <c r="E194" s="28" t="s">
        <v>14</v>
      </c>
      <c r="F194" s="29" t="s">
        <v>15</v>
      </c>
    </row>
    <row r="195" spans="1:6" x14ac:dyDescent="0.25">
      <c r="B195" s="30" t="s">
        <v>101</v>
      </c>
      <c r="C195" s="31" t="s">
        <v>102</v>
      </c>
      <c r="D195" s="32" t="s">
        <v>19</v>
      </c>
      <c r="E195" s="33">
        <v>46107</v>
      </c>
      <c r="F195" s="34">
        <v>775682.65</v>
      </c>
    </row>
    <row r="196" spans="1:6" x14ac:dyDescent="0.25">
      <c r="B196" s="27" t="s">
        <v>21</v>
      </c>
      <c r="C196" s="28" t="s">
        <v>22</v>
      </c>
      <c r="D196" s="28" t="s">
        <v>23</v>
      </c>
      <c r="E196" s="28" t="s">
        <v>24</v>
      </c>
      <c r="F196" s="29" t="s">
        <v>25</v>
      </c>
    </row>
    <row r="197" spans="1:6" x14ac:dyDescent="0.25">
      <c r="B197" s="30" t="s">
        <v>27</v>
      </c>
      <c r="C197" s="31" t="s">
        <v>28</v>
      </c>
      <c r="D197" s="47">
        <v>46127</v>
      </c>
      <c r="E197" s="35">
        <v>46148</v>
      </c>
      <c r="F197" s="34">
        <f>SUM(D201:D202)</f>
        <v>0</v>
      </c>
    </row>
    <row r="198" spans="1:6" x14ac:dyDescent="0.25">
      <c r="B198" s="105" t="s">
        <v>30</v>
      </c>
      <c r="C198" s="106"/>
      <c r="D198" s="106"/>
      <c r="E198" s="106"/>
      <c r="F198" s="107"/>
    </row>
    <row r="199" spans="1:6" x14ac:dyDescent="0.25">
      <c r="B199" s="114">
        <f>F195-F197</f>
        <v>775682.65</v>
      </c>
      <c r="C199" s="115"/>
      <c r="D199" s="115"/>
      <c r="E199" s="115"/>
      <c r="F199" s="116"/>
    </row>
    <row r="200" spans="1:6" x14ac:dyDescent="0.25">
      <c r="B200" s="27" t="s">
        <v>31</v>
      </c>
      <c r="C200" s="28" t="s">
        <v>32</v>
      </c>
      <c r="D200" s="28" t="s">
        <v>33</v>
      </c>
      <c r="E200" s="28" t="s">
        <v>34</v>
      </c>
      <c r="F200" s="29" t="s">
        <v>35</v>
      </c>
    </row>
    <row r="201" spans="1:6" x14ac:dyDescent="0.25">
      <c r="B201" s="40">
        <v>1</v>
      </c>
      <c r="C201" s="41">
        <v>91202373</v>
      </c>
      <c r="D201" s="42"/>
      <c r="E201" s="41"/>
      <c r="F201" s="43"/>
    </row>
    <row r="202" spans="1:6" ht="15.75" thickBot="1" x14ac:dyDescent="0.3">
      <c r="B202" s="36">
        <v>2</v>
      </c>
      <c r="C202" s="37">
        <v>91202528</v>
      </c>
      <c r="D202" s="38"/>
      <c r="E202" s="37"/>
      <c r="F202" s="44"/>
    </row>
    <row r="204" spans="1:6" ht="15.75" thickBot="1" x14ac:dyDescent="0.3"/>
    <row r="205" spans="1:6" x14ac:dyDescent="0.25">
      <c r="A205" s="21" t="s">
        <v>4</v>
      </c>
      <c r="B205" s="22" t="s">
        <v>5</v>
      </c>
      <c r="C205" s="23">
        <v>14</v>
      </c>
      <c r="D205" s="24"/>
      <c r="E205" s="25" t="s">
        <v>6</v>
      </c>
      <c r="F205" s="26">
        <f>SUBTOTAL(2,B216:B223)</f>
        <v>6</v>
      </c>
    </row>
    <row r="206" spans="1:6" x14ac:dyDescent="0.25">
      <c r="B206" s="99" t="s">
        <v>51</v>
      </c>
      <c r="C206" s="100"/>
      <c r="D206" s="100"/>
      <c r="E206" s="100"/>
      <c r="F206" s="101"/>
    </row>
    <row r="207" spans="1:6" x14ac:dyDescent="0.25">
      <c r="B207" s="99">
        <v>2000018</v>
      </c>
      <c r="C207" s="100"/>
      <c r="D207" s="100"/>
      <c r="E207" s="100"/>
      <c r="F207" s="101"/>
    </row>
    <row r="208" spans="1:6" x14ac:dyDescent="0.25">
      <c r="B208" s="111" t="s">
        <v>52</v>
      </c>
      <c r="C208" s="112"/>
      <c r="D208" s="112"/>
      <c r="E208" s="112"/>
      <c r="F208" s="113"/>
    </row>
    <row r="209" spans="1:6" x14ac:dyDescent="0.25">
      <c r="B209" s="27" t="s">
        <v>11</v>
      </c>
      <c r="C209" s="28" t="s">
        <v>12</v>
      </c>
      <c r="D209" s="28" t="s">
        <v>13</v>
      </c>
      <c r="E209" s="28" t="s">
        <v>14</v>
      </c>
      <c r="F209" s="29" t="s">
        <v>15</v>
      </c>
    </row>
    <row r="210" spans="1:6" x14ac:dyDescent="0.25">
      <c r="B210" s="30" t="s">
        <v>103</v>
      </c>
      <c r="C210" s="31" t="s">
        <v>104</v>
      </c>
      <c r="D210" s="32" t="s">
        <v>19</v>
      </c>
      <c r="E210" s="33">
        <v>46146</v>
      </c>
      <c r="F210" s="34">
        <v>770487.61</v>
      </c>
    </row>
    <row r="211" spans="1:6" x14ac:dyDescent="0.25">
      <c r="B211" s="27" t="s">
        <v>21</v>
      </c>
      <c r="C211" s="28" t="s">
        <v>22</v>
      </c>
      <c r="D211" s="28" t="s">
        <v>23</v>
      </c>
      <c r="E211" s="28" t="s">
        <v>24</v>
      </c>
      <c r="F211" s="29" t="s">
        <v>25</v>
      </c>
    </row>
    <row r="212" spans="1:6" x14ac:dyDescent="0.25">
      <c r="B212" s="30" t="s">
        <v>57</v>
      </c>
      <c r="C212" s="31" t="s">
        <v>58</v>
      </c>
      <c r="D212" s="47">
        <v>46214</v>
      </c>
      <c r="E212" s="35">
        <v>46229</v>
      </c>
      <c r="F212" s="34">
        <f>SUM(D216:D221)</f>
        <v>766698.43</v>
      </c>
    </row>
    <row r="213" spans="1:6" x14ac:dyDescent="0.25">
      <c r="B213" s="105" t="s">
        <v>30</v>
      </c>
      <c r="C213" s="106"/>
      <c r="D213" s="106"/>
      <c r="E213" s="106"/>
      <c r="F213" s="107"/>
    </row>
    <row r="214" spans="1:6" x14ac:dyDescent="0.25">
      <c r="B214" s="114">
        <f>F210-F212</f>
        <v>3789.1799999999348</v>
      </c>
      <c r="C214" s="115"/>
      <c r="D214" s="115"/>
      <c r="E214" s="115"/>
      <c r="F214" s="116"/>
    </row>
    <row r="215" spans="1:6" x14ac:dyDescent="0.25">
      <c r="B215" s="27" t="s">
        <v>31</v>
      </c>
      <c r="C215" s="28" t="s">
        <v>32</v>
      </c>
      <c r="D215" s="28" t="s">
        <v>33</v>
      </c>
      <c r="E215" s="28" t="s">
        <v>34</v>
      </c>
      <c r="F215" s="29" t="s">
        <v>35</v>
      </c>
    </row>
    <row r="216" spans="1:6" x14ac:dyDescent="0.25">
      <c r="B216" s="40">
        <v>1</v>
      </c>
      <c r="C216" s="41">
        <v>91219417</v>
      </c>
      <c r="D216" s="42">
        <v>128390</v>
      </c>
      <c r="E216" s="41"/>
      <c r="F216" s="71">
        <v>46388</v>
      </c>
    </row>
    <row r="217" spans="1:6" x14ac:dyDescent="0.25">
      <c r="B217" s="40">
        <v>2</v>
      </c>
      <c r="C217" s="41">
        <v>91219491</v>
      </c>
      <c r="D217" s="42">
        <v>47539.5</v>
      </c>
      <c r="E217" s="41"/>
      <c r="F217" s="71">
        <v>46388</v>
      </c>
    </row>
    <row r="218" spans="1:6" x14ac:dyDescent="0.25">
      <c r="B218" s="40">
        <v>3</v>
      </c>
      <c r="C218" s="41">
        <v>91219571</v>
      </c>
      <c r="D218" s="42">
        <v>37818.199999999997</v>
      </c>
      <c r="E218" s="41"/>
      <c r="F218" s="71">
        <v>46388</v>
      </c>
    </row>
    <row r="219" spans="1:6" x14ac:dyDescent="0.25">
      <c r="B219" s="40">
        <v>4</v>
      </c>
      <c r="C219" s="41">
        <v>91226392</v>
      </c>
      <c r="D219" s="42">
        <v>308687.25</v>
      </c>
      <c r="E219" s="41"/>
      <c r="F219" s="43"/>
    </row>
    <row r="220" spans="1:6" ht="15.75" thickBot="1" x14ac:dyDescent="0.3">
      <c r="B220" s="36">
        <v>5</v>
      </c>
      <c r="C220" s="37">
        <v>91228981</v>
      </c>
      <c r="D220" s="38">
        <v>28988.080000000002</v>
      </c>
      <c r="E220" s="37" t="s">
        <v>105</v>
      </c>
      <c r="F220" s="44" t="s">
        <v>106</v>
      </c>
    </row>
    <row r="221" spans="1:6" ht="15.75" thickBot="1" x14ac:dyDescent="0.3">
      <c r="B221" s="36">
        <v>6</v>
      </c>
      <c r="C221" s="37">
        <v>91226395</v>
      </c>
      <c r="D221" s="38">
        <v>215275.4</v>
      </c>
      <c r="E221" s="37"/>
      <c r="F221" s="44"/>
    </row>
    <row r="222" spans="1:6" ht="15.75" thickBot="1" x14ac:dyDescent="0.3"/>
    <row r="223" spans="1:6" x14ac:dyDescent="0.25">
      <c r="A223" s="21" t="s">
        <v>4</v>
      </c>
      <c r="B223" s="22" t="s">
        <v>5</v>
      </c>
      <c r="C223" s="23">
        <v>15</v>
      </c>
      <c r="D223" s="24"/>
      <c r="E223" s="25" t="s">
        <v>6</v>
      </c>
      <c r="F223" s="26">
        <f>SUBTOTAL(2,B234:B241)</f>
        <v>8</v>
      </c>
    </row>
    <row r="224" spans="1:6" x14ac:dyDescent="0.25">
      <c r="B224" s="99" t="s">
        <v>7</v>
      </c>
      <c r="C224" s="100"/>
      <c r="D224" s="100"/>
      <c r="E224" s="100"/>
      <c r="F224" s="101"/>
    </row>
    <row r="225" spans="2:6" x14ac:dyDescent="0.25">
      <c r="B225" s="99">
        <v>2000006</v>
      </c>
      <c r="C225" s="100"/>
      <c r="D225" s="100"/>
      <c r="E225" s="100"/>
      <c r="F225" s="101"/>
    </row>
    <row r="226" spans="2:6" x14ac:dyDescent="0.25">
      <c r="B226" s="111" t="s">
        <v>9</v>
      </c>
      <c r="C226" s="112"/>
      <c r="D226" s="112"/>
      <c r="E226" s="112"/>
      <c r="F226" s="113"/>
    </row>
    <row r="227" spans="2:6" x14ac:dyDescent="0.25">
      <c r="B227" s="27" t="s">
        <v>11</v>
      </c>
      <c r="C227" s="28" t="s">
        <v>12</v>
      </c>
      <c r="D227" s="28" t="s">
        <v>13</v>
      </c>
      <c r="E227" s="28" t="s">
        <v>14</v>
      </c>
      <c r="F227" s="29" t="s">
        <v>15</v>
      </c>
    </row>
    <row r="228" spans="2:6" x14ac:dyDescent="0.25">
      <c r="B228" s="30" t="s">
        <v>107</v>
      </c>
      <c r="C228" s="31" t="s">
        <v>108</v>
      </c>
      <c r="D228" s="32" t="s">
        <v>19</v>
      </c>
      <c r="E228" s="33">
        <v>46162</v>
      </c>
      <c r="F228" s="34">
        <v>475824.47</v>
      </c>
    </row>
    <row r="229" spans="2:6" x14ac:dyDescent="0.25">
      <c r="B229" s="27" t="s">
        <v>21</v>
      </c>
      <c r="C229" s="28" t="s">
        <v>22</v>
      </c>
      <c r="D229" s="28" t="s">
        <v>23</v>
      </c>
      <c r="E229" s="28" t="s">
        <v>24</v>
      </c>
      <c r="F229" s="29" t="s">
        <v>25</v>
      </c>
    </row>
    <row r="230" spans="2:6" x14ac:dyDescent="0.25">
      <c r="B230" s="30" t="s">
        <v>27</v>
      </c>
      <c r="C230" s="31" t="s">
        <v>109</v>
      </c>
      <c r="D230" s="47">
        <v>46188</v>
      </c>
      <c r="E230" s="35">
        <v>46209</v>
      </c>
      <c r="F230" s="34">
        <f>SUM(D234:D241)</f>
        <v>435078.21</v>
      </c>
    </row>
    <row r="231" spans="2:6" x14ac:dyDescent="0.25">
      <c r="B231" s="105" t="s">
        <v>30</v>
      </c>
      <c r="C231" s="106"/>
      <c r="D231" s="106"/>
      <c r="E231" s="106"/>
      <c r="F231" s="107"/>
    </row>
    <row r="232" spans="2:6" x14ac:dyDescent="0.25">
      <c r="B232" s="114">
        <f>F228-F230</f>
        <v>40746.259999999951</v>
      </c>
      <c r="C232" s="115"/>
      <c r="D232" s="115"/>
      <c r="E232" s="115"/>
      <c r="F232" s="116"/>
    </row>
    <row r="233" spans="2:6" x14ac:dyDescent="0.25">
      <c r="B233" s="27" t="s">
        <v>31</v>
      </c>
      <c r="C233" s="28" t="s">
        <v>32</v>
      </c>
      <c r="D233" s="28" t="s">
        <v>33</v>
      </c>
      <c r="E233" s="28" t="s">
        <v>34</v>
      </c>
      <c r="F233" s="29" t="s">
        <v>35</v>
      </c>
    </row>
    <row r="234" spans="2:6" x14ac:dyDescent="0.25">
      <c r="B234" s="40">
        <v>1</v>
      </c>
      <c r="C234" s="41">
        <v>91219680</v>
      </c>
      <c r="D234" s="42">
        <v>105721</v>
      </c>
      <c r="E234" s="69">
        <v>46301</v>
      </c>
      <c r="F234" s="43" t="s">
        <v>110</v>
      </c>
    </row>
    <row r="235" spans="2:6" x14ac:dyDescent="0.25">
      <c r="B235" s="40">
        <v>2</v>
      </c>
      <c r="C235" s="41">
        <v>91219652</v>
      </c>
      <c r="D235" s="42">
        <v>657.72</v>
      </c>
      <c r="E235" s="69">
        <v>46301</v>
      </c>
      <c r="F235" s="43" t="s">
        <v>110</v>
      </c>
    </row>
    <row r="236" spans="2:6" x14ac:dyDescent="0.25">
      <c r="B236" s="40">
        <v>3</v>
      </c>
      <c r="C236" s="41">
        <v>91219676</v>
      </c>
      <c r="D236" s="42">
        <v>33645.72</v>
      </c>
      <c r="E236" s="69">
        <v>46301</v>
      </c>
      <c r="F236" s="43" t="s">
        <v>110</v>
      </c>
    </row>
    <row r="237" spans="2:6" x14ac:dyDescent="0.25">
      <c r="B237" s="40">
        <v>4</v>
      </c>
      <c r="C237" s="41">
        <v>91219677</v>
      </c>
      <c r="D237" s="42">
        <v>11803.26</v>
      </c>
      <c r="E237" s="69">
        <v>46301</v>
      </c>
      <c r="F237" s="43" t="s">
        <v>110</v>
      </c>
    </row>
    <row r="238" spans="2:6" x14ac:dyDescent="0.25">
      <c r="B238" s="40">
        <v>5</v>
      </c>
      <c r="C238" s="41">
        <v>91219678</v>
      </c>
      <c r="D238" s="42">
        <v>29952.18</v>
      </c>
      <c r="E238" s="69">
        <v>46300</v>
      </c>
      <c r="F238" s="43" t="s">
        <v>110</v>
      </c>
    </row>
    <row r="239" spans="2:6" x14ac:dyDescent="0.25">
      <c r="B239" s="40">
        <v>6</v>
      </c>
      <c r="C239" s="41">
        <v>91219681</v>
      </c>
      <c r="D239" s="42">
        <v>24066.720000000001</v>
      </c>
      <c r="E239" s="69">
        <v>46301</v>
      </c>
      <c r="F239" s="43" t="s">
        <v>110</v>
      </c>
    </row>
    <row r="240" spans="2:6" x14ac:dyDescent="0.25">
      <c r="B240" s="40">
        <v>7</v>
      </c>
      <c r="C240" s="41">
        <v>91219690</v>
      </c>
      <c r="D240" s="42">
        <v>11078.72</v>
      </c>
      <c r="E240" s="69">
        <v>46301</v>
      </c>
      <c r="F240" s="43" t="s">
        <v>110</v>
      </c>
    </row>
    <row r="241" spans="1:6" ht="15.75" thickBot="1" x14ac:dyDescent="0.3">
      <c r="B241" s="36">
        <v>8</v>
      </c>
      <c r="C241" s="37">
        <v>91219898</v>
      </c>
      <c r="D241" s="38">
        <v>218152.89</v>
      </c>
      <c r="E241" s="70">
        <v>46301</v>
      </c>
      <c r="F241" s="44" t="s">
        <v>110</v>
      </c>
    </row>
    <row r="243" spans="1:6" ht="15.75" thickBot="1" x14ac:dyDescent="0.3"/>
    <row r="244" spans="1:6" x14ac:dyDescent="0.25">
      <c r="A244" s="21" t="s">
        <v>4</v>
      </c>
      <c r="B244" s="22" t="s">
        <v>5</v>
      </c>
      <c r="C244" s="23">
        <v>16</v>
      </c>
      <c r="D244" s="24"/>
      <c r="E244" s="24" t="s">
        <v>6</v>
      </c>
      <c r="F244" s="26">
        <f>SUBTOTAL(2,B255:B256)</f>
        <v>0</v>
      </c>
    </row>
    <row r="245" spans="1:6" x14ac:dyDescent="0.25">
      <c r="B245" s="99" t="s">
        <v>111</v>
      </c>
      <c r="C245" s="100"/>
      <c r="D245" s="100"/>
      <c r="E245" s="100"/>
      <c r="F245" s="101"/>
    </row>
    <row r="246" spans="1:6" x14ac:dyDescent="0.25">
      <c r="B246" s="99">
        <v>2002279</v>
      </c>
      <c r="C246" s="100"/>
      <c r="D246" s="100"/>
      <c r="E246" s="100"/>
      <c r="F246" s="101"/>
    </row>
    <row r="247" spans="1:6" x14ac:dyDescent="0.25">
      <c r="B247" s="111" t="s">
        <v>112</v>
      </c>
      <c r="C247" s="112"/>
      <c r="D247" s="112"/>
      <c r="E247" s="112"/>
      <c r="F247" s="113"/>
    </row>
    <row r="248" spans="1:6" x14ac:dyDescent="0.25">
      <c r="B248" s="27" t="s">
        <v>11</v>
      </c>
      <c r="C248" s="28" t="s">
        <v>12</v>
      </c>
      <c r="D248" s="28" t="s">
        <v>13</v>
      </c>
      <c r="E248" s="28" t="s">
        <v>14</v>
      </c>
      <c r="F248" s="29" t="s">
        <v>15</v>
      </c>
    </row>
    <row r="249" spans="1:6" x14ac:dyDescent="0.25">
      <c r="B249" s="30" t="s">
        <v>113</v>
      </c>
      <c r="C249" s="31" t="s">
        <v>114</v>
      </c>
      <c r="D249" s="32" t="s">
        <v>115</v>
      </c>
      <c r="E249" s="33">
        <v>46162</v>
      </c>
      <c r="F249" s="34">
        <v>90596</v>
      </c>
    </row>
    <row r="250" spans="1:6" x14ac:dyDescent="0.25">
      <c r="B250" s="27" t="s">
        <v>21</v>
      </c>
      <c r="C250" s="28" t="s">
        <v>22</v>
      </c>
      <c r="D250" s="28" t="s">
        <v>23</v>
      </c>
      <c r="E250" s="28" t="s">
        <v>24</v>
      </c>
      <c r="F250" s="29" t="s">
        <v>25</v>
      </c>
    </row>
    <row r="251" spans="1:6" x14ac:dyDescent="0.25">
      <c r="B251" s="30" t="s">
        <v>116</v>
      </c>
      <c r="C251" s="31"/>
      <c r="D251" s="47">
        <v>46202</v>
      </c>
      <c r="E251" s="35">
        <v>46223</v>
      </c>
      <c r="F251" s="34">
        <f>SUM(D255)</f>
        <v>90596</v>
      </c>
    </row>
    <row r="252" spans="1:6" x14ac:dyDescent="0.25">
      <c r="B252" s="105" t="s">
        <v>30</v>
      </c>
      <c r="C252" s="106"/>
      <c r="D252" s="106"/>
      <c r="E252" s="106"/>
      <c r="F252" s="107"/>
    </row>
    <row r="253" spans="1:6" x14ac:dyDescent="0.25">
      <c r="B253" s="114">
        <f>F249-F251</f>
        <v>0</v>
      </c>
      <c r="C253" s="115"/>
      <c r="D253" s="115"/>
      <c r="E253" s="115"/>
      <c r="F253" s="116"/>
    </row>
    <row r="254" spans="1:6" x14ac:dyDescent="0.25">
      <c r="B254" s="27" t="s">
        <v>31</v>
      </c>
      <c r="C254" s="28" t="s">
        <v>32</v>
      </c>
      <c r="D254" s="28" t="s">
        <v>33</v>
      </c>
      <c r="E254" s="28" t="s">
        <v>34</v>
      </c>
      <c r="F254" s="29" t="s">
        <v>35</v>
      </c>
    </row>
    <row r="255" spans="1:6" ht="15.75" thickBot="1" x14ac:dyDescent="0.3">
      <c r="B255" s="48" t="s">
        <v>4</v>
      </c>
      <c r="C255" s="49">
        <v>91212341</v>
      </c>
      <c r="D255" s="50">
        <v>90596</v>
      </c>
      <c r="E255" s="49" t="s">
        <v>117</v>
      </c>
      <c r="F255" s="51" t="s">
        <v>118</v>
      </c>
    </row>
    <row r="257" spans="1:6" ht="15.75" thickBot="1" x14ac:dyDescent="0.3"/>
    <row r="258" spans="1:6" x14ac:dyDescent="0.25">
      <c r="A258" s="21" t="s">
        <v>4</v>
      </c>
      <c r="B258" s="22" t="s">
        <v>5</v>
      </c>
      <c r="C258" s="23">
        <v>17</v>
      </c>
      <c r="D258" s="24"/>
      <c r="E258" s="24" t="s">
        <v>6</v>
      </c>
      <c r="F258" s="26">
        <f>SUBTOTAL(2,B269:B271)</f>
        <v>3</v>
      </c>
    </row>
    <row r="259" spans="1:6" x14ac:dyDescent="0.25">
      <c r="B259" s="99" t="s">
        <v>119</v>
      </c>
      <c r="C259" s="100"/>
      <c r="D259" s="100"/>
      <c r="E259" s="100"/>
      <c r="F259" s="101"/>
    </row>
    <row r="260" spans="1:6" x14ac:dyDescent="0.25">
      <c r="B260" s="99">
        <f>_xlfn.XLOOKUP(B259, 'Cust Data'!C:C, 'Cust Data'!E:E, "N/A")</f>
        <v>2001210</v>
      </c>
      <c r="C260" s="100"/>
      <c r="D260" s="100"/>
      <c r="E260" s="100"/>
      <c r="F260" s="101"/>
    </row>
    <row r="261" spans="1:6" x14ac:dyDescent="0.25">
      <c r="B261" s="111" t="str">
        <f>_xlfn.XLOOKUP(B259, 'Cust Data'!C:C, 'Cust Data'!D:D, "N/A")</f>
        <v>Ethiopia</v>
      </c>
      <c r="C261" s="112"/>
      <c r="D261" s="112"/>
      <c r="E261" s="112"/>
      <c r="F261" s="113"/>
    </row>
    <row r="262" spans="1:6" x14ac:dyDescent="0.25">
      <c r="B262" s="27" t="s">
        <v>11</v>
      </c>
      <c r="C262" s="28" t="s">
        <v>12</v>
      </c>
      <c r="D262" s="28" t="s">
        <v>13</v>
      </c>
      <c r="E262" s="28" t="s">
        <v>14</v>
      </c>
      <c r="F262" s="29" t="s">
        <v>15</v>
      </c>
    </row>
    <row r="263" spans="1:6" ht="24" x14ac:dyDescent="0.25">
      <c r="B263" s="30" t="s">
        <v>120</v>
      </c>
      <c r="C263" s="31" t="s">
        <v>121</v>
      </c>
      <c r="D263" s="32" t="s">
        <v>87</v>
      </c>
      <c r="E263" s="33">
        <v>46162</v>
      </c>
      <c r="F263" s="34">
        <v>563636.54</v>
      </c>
    </row>
    <row r="264" spans="1:6" x14ac:dyDescent="0.25">
      <c r="B264" s="27" t="s">
        <v>21</v>
      </c>
      <c r="C264" s="28" t="s">
        <v>22</v>
      </c>
      <c r="D264" s="28" t="s">
        <v>23</v>
      </c>
      <c r="E264" s="28" t="s">
        <v>24</v>
      </c>
      <c r="F264" s="29" t="s">
        <v>25</v>
      </c>
    </row>
    <row r="265" spans="1:6" x14ac:dyDescent="0.25">
      <c r="B265" s="30" t="s">
        <v>122</v>
      </c>
      <c r="C265" s="31" t="s">
        <v>90</v>
      </c>
      <c r="D265" s="47">
        <v>46223</v>
      </c>
      <c r="E265" s="35">
        <v>46251</v>
      </c>
      <c r="F265" s="34">
        <f>SUM(D269:D271)</f>
        <v>547905.13</v>
      </c>
    </row>
    <row r="266" spans="1:6" x14ac:dyDescent="0.25">
      <c r="B266" s="105" t="s">
        <v>30</v>
      </c>
      <c r="C266" s="106"/>
      <c r="D266" s="106"/>
      <c r="E266" s="106"/>
      <c r="F266" s="107"/>
    </row>
    <row r="267" spans="1:6" x14ac:dyDescent="0.25">
      <c r="B267" s="114">
        <f>F263-F265</f>
        <v>15731.410000000033</v>
      </c>
      <c r="C267" s="115"/>
      <c r="D267" s="115"/>
      <c r="E267" s="115"/>
      <c r="F267" s="116"/>
    </row>
    <row r="268" spans="1:6" x14ac:dyDescent="0.25">
      <c r="B268" s="27" t="s">
        <v>31</v>
      </c>
      <c r="C268" s="28" t="s">
        <v>32</v>
      </c>
      <c r="D268" s="28" t="s">
        <v>33</v>
      </c>
      <c r="E268" s="28" t="s">
        <v>34</v>
      </c>
      <c r="F268" s="29" t="s">
        <v>35</v>
      </c>
    </row>
    <row r="269" spans="1:6" x14ac:dyDescent="0.25">
      <c r="B269" s="52">
        <v>1</v>
      </c>
      <c r="C269" s="53">
        <v>91220291</v>
      </c>
      <c r="D269" s="54">
        <v>45607.32</v>
      </c>
      <c r="E269" s="53"/>
      <c r="F269" s="55" t="s">
        <v>37</v>
      </c>
    </row>
    <row r="270" spans="1:6" x14ac:dyDescent="0.25">
      <c r="B270" s="56">
        <v>2</v>
      </c>
      <c r="C270" s="57">
        <v>91220476</v>
      </c>
      <c r="D270" s="58">
        <v>394993.25</v>
      </c>
      <c r="E270" s="57"/>
      <c r="F270" s="59" t="s">
        <v>37</v>
      </c>
    </row>
    <row r="271" spans="1:6" ht="15.75" thickBot="1" x14ac:dyDescent="0.3">
      <c r="B271" s="60">
        <v>3</v>
      </c>
      <c r="C271" s="61">
        <v>91228956</v>
      </c>
      <c r="D271" s="62">
        <v>107304.56</v>
      </c>
      <c r="E271" s="61" t="s">
        <v>123</v>
      </c>
      <c r="F271" s="63" t="s">
        <v>124</v>
      </c>
    </row>
    <row r="272" spans="1:6" ht="15.75" thickBot="1" x14ac:dyDescent="0.3"/>
    <row r="273" spans="1:6" x14ac:dyDescent="0.25">
      <c r="A273" s="21" t="s">
        <v>4</v>
      </c>
      <c r="B273" s="22" t="s">
        <v>5</v>
      </c>
      <c r="C273" s="23">
        <v>18</v>
      </c>
      <c r="D273" s="24"/>
      <c r="E273" s="24" t="s">
        <v>6</v>
      </c>
      <c r="F273" s="26">
        <f>SUBTOTAL(2,B284)</f>
        <v>1</v>
      </c>
    </row>
    <row r="274" spans="1:6" x14ac:dyDescent="0.25">
      <c r="B274" s="99" t="s">
        <v>125</v>
      </c>
      <c r="C274" s="100"/>
      <c r="D274" s="100"/>
      <c r="E274" s="100"/>
      <c r="F274" s="101"/>
    </row>
    <row r="275" spans="1:6" x14ac:dyDescent="0.25">
      <c r="B275" s="99">
        <v>2001514</v>
      </c>
      <c r="C275" s="100"/>
      <c r="D275" s="100"/>
      <c r="E275" s="100"/>
      <c r="F275" s="101"/>
    </row>
    <row r="276" spans="1:6" x14ac:dyDescent="0.25">
      <c r="B276" s="111" t="s">
        <v>126</v>
      </c>
      <c r="C276" s="112"/>
      <c r="D276" s="112"/>
      <c r="E276" s="112"/>
      <c r="F276" s="113"/>
    </row>
    <row r="277" spans="1:6" x14ac:dyDescent="0.25">
      <c r="B277" s="27" t="s">
        <v>11</v>
      </c>
      <c r="C277" s="28" t="s">
        <v>12</v>
      </c>
      <c r="D277" s="28" t="s">
        <v>13</v>
      </c>
      <c r="E277" s="28" t="s">
        <v>14</v>
      </c>
      <c r="F277" s="29" t="s">
        <v>15</v>
      </c>
    </row>
    <row r="278" spans="1:6" x14ac:dyDescent="0.25">
      <c r="B278" s="30" t="s">
        <v>127</v>
      </c>
      <c r="C278" s="31" t="s">
        <v>128</v>
      </c>
      <c r="D278" s="32" t="s">
        <v>64</v>
      </c>
      <c r="E278" s="33">
        <v>46166</v>
      </c>
      <c r="F278" s="34">
        <v>148875.1</v>
      </c>
    </row>
    <row r="279" spans="1:6" x14ac:dyDescent="0.25">
      <c r="B279" s="27" t="s">
        <v>21</v>
      </c>
      <c r="C279" s="28" t="s">
        <v>22</v>
      </c>
      <c r="D279" s="28" t="s">
        <v>23</v>
      </c>
      <c r="E279" s="28" t="s">
        <v>24</v>
      </c>
      <c r="F279" s="29" t="s">
        <v>25</v>
      </c>
    </row>
    <row r="280" spans="1:6" x14ac:dyDescent="0.25">
      <c r="B280" s="30" t="s">
        <v>66</v>
      </c>
      <c r="C280" s="31" t="s">
        <v>129</v>
      </c>
      <c r="D280" s="47">
        <v>46257</v>
      </c>
      <c r="E280" s="35">
        <v>46257</v>
      </c>
      <c r="F280" s="34">
        <f>SUM(D284:D285)</f>
        <v>148874.85</v>
      </c>
    </row>
    <row r="281" spans="1:6" x14ac:dyDescent="0.25">
      <c r="B281" s="105" t="s">
        <v>30</v>
      </c>
      <c r="C281" s="106"/>
      <c r="D281" s="106"/>
      <c r="E281" s="106"/>
      <c r="F281" s="107"/>
    </row>
    <row r="282" spans="1:6" x14ac:dyDescent="0.25">
      <c r="B282" s="114">
        <f>F278-F280</f>
        <v>0.25</v>
      </c>
      <c r="C282" s="115"/>
      <c r="D282" s="115"/>
      <c r="E282" s="115"/>
      <c r="F282" s="116"/>
    </row>
    <row r="283" spans="1:6" x14ac:dyDescent="0.25">
      <c r="B283" s="27" t="s">
        <v>31</v>
      </c>
      <c r="C283" s="28" t="s">
        <v>32</v>
      </c>
      <c r="D283" s="28" t="s">
        <v>33</v>
      </c>
      <c r="E283" s="28" t="s">
        <v>34</v>
      </c>
      <c r="F283" s="29" t="s">
        <v>35</v>
      </c>
    </row>
    <row r="284" spans="1:6" ht="15.75" thickBot="1" x14ac:dyDescent="0.3">
      <c r="B284" s="48">
        <v>1</v>
      </c>
      <c r="C284" s="49">
        <v>91227418</v>
      </c>
      <c r="D284" s="50">
        <v>148874.85</v>
      </c>
      <c r="E284" s="65">
        <v>46194</v>
      </c>
      <c r="F284" s="66">
        <v>46238</v>
      </c>
    </row>
    <row r="286" spans="1:6" ht="15.75" thickBot="1" x14ac:dyDescent="0.3"/>
    <row r="287" spans="1:6" x14ac:dyDescent="0.25">
      <c r="A287" s="21" t="s">
        <v>4</v>
      </c>
      <c r="B287" s="22" t="s">
        <v>5</v>
      </c>
      <c r="C287" s="23">
        <v>19</v>
      </c>
      <c r="D287" s="24"/>
      <c r="E287" s="24" t="s">
        <v>6</v>
      </c>
      <c r="F287" s="26">
        <f>SUBTOTAL(2,B298:B300)</f>
        <v>2</v>
      </c>
    </row>
    <row r="288" spans="1:6" x14ac:dyDescent="0.25">
      <c r="B288" s="99" t="s">
        <v>60</v>
      </c>
      <c r="C288" s="100"/>
      <c r="D288" s="100"/>
      <c r="E288" s="100"/>
      <c r="F288" s="101"/>
    </row>
    <row r="289" spans="1:17" x14ac:dyDescent="0.25">
      <c r="B289" s="99">
        <v>2000012</v>
      </c>
      <c r="C289" s="100"/>
      <c r="D289" s="100"/>
      <c r="E289" s="100"/>
      <c r="F289" s="101"/>
    </row>
    <row r="290" spans="1:17" x14ac:dyDescent="0.25">
      <c r="B290" s="111" t="s">
        <v>61</v>
      </c>
      <c r="C290" s="112"/>
      <c r="D290" s="112"/>
      <c r="E290" s="112"/>
      <c r="F290" s="113"/>
    </row>
    <row r="291" spans="1:17" x14ac:dyDescent="0.25">
      <c r="B291" s="27" t="s">
        <v>11</v>
      </c>
      <c r="C291" s="28" t="s">
        <v>12</v>
      </c>
      <c r="D291" s="28" t="s">
        <v>13</v>
      </c>
      <c r="E291" s="28" t="s">
        <v>14</v>
      </c>
      <c r="F291" s="29" t="s">
        <v>15</v>
      </c>
    </row>
    <row r="292" spans="1:17" x14ac:dyDescent="0.25">
      <c r="B292" s="30" t="s">
        <v>130</v>
      </c>
      <c r="C292" s="31" t="s">
        <v>131</v>
      </c>
      <c r="D292" s="32" t="s">
        <v>64</v>
      </c>
      <c r="E292" s="33">
        <v>46177</v>
      </c>
      <c r="F292" s="34">
        <v>753141</v>
      </c>
    </row>
    <row r="293" spans="1:17" x14ac:dyDescent="0.25">
      <c r="B293" s="27" t="s">
        <v>21</v>
      </c>
      <c r="C293" s="28" t="s">
        <v>22</v>
      </c>
      <c r="D293" s="28" t="s">
        <v>23</v>
      </c>
      <c r="E293" s="28" t="s">
        <v>24</v>
      </c>
      <c r="F293" s="29" t="s">
        <v>25</v>
      </c>
    </row>
    <row r="294" spans="1:17" x14ac:dyDescent="0.25">
      <c r="B294" s="30" t="s">
        <v>66</v>
      </c>
      <c r="C294" s="31" t="s">
        <v>67</v>
      </c>
      <c r="D294" s="32">
        <v>46247</v>
      </c>
      <c r="E294" s="35">
        <v>46267</v>
      </c>
      <c r="F294" s="34">
        <f>SUM(D298:D299)</f>
        <v>753140.87</v>
      </c>
    </row>
    <row r="295" spans="1:17" x14ac:dyDescent="0.25">
      <c r="B295" s="105" t="s">
        <v>30</v>
      </c>
      <c r="C295" s="106"/>
      <c r="D295" s="106"/>
      <c r="E295" s="106"/>
      <c r="F295" s="107"/>
    </row>
    <row r="296" spans="1:17" x14ac:dyDescent="0.25">
      <c r="B296" s="114">
        <f>F292-F294</f>
        <v>0.13000000000465661</v>
      </c>
      <c r="C296" s="115"/>
      <c r="D296" s="115"/>
      <c r="E296" s="115"/>
      <c r="F296" s="116"/>
    </row>
    <row r="297" spans="1:17" x14ac:dyDescent="0.25">
      <c r="B297" s="27" t="s">
        <v>31</v>
      </c>
      <c r="C297" s="28" t="s">
        <v>32</v>
      </c>
      <c r="D297" s="28" t="s">
        <v>33</v>
      </c>
      <c r="E297" s="28" t="s">
        <v>34</v>
      </c>
      <c r="F297" s="29" t="s">
        <v>35</v>
      </c>
      <c r="Q297" t="s">
        <v>134</v>
      </c>
    </row>
    <row r="298" spans="1:17" x14ac:dyDescent="0.25">
      <c r="B298" s="40">
        <v>1</v>
      </c>
      <c r="C298" s="41">
        <v>91215163</v>
      </c>
      <c r="D298" s="42">
        <v>591628.64</v>
      </c>
      <c r="E298" s="41" t="s">
        <v>132</v>
      </c>
      <c r="F298" s="68">
        <v>46212</v>
      </c>
    </row>
    <row r="299" spans="1:17" ht="15.75" thickBot="1" x14ac:dyDescent="0.3">
      <c r="B299" s="36">
        <v>2</v>
      </c>
      <c r="C299" s="37">
        <v>91228106</v>
      </c>
      <c r="D299" s="38">
        <v>161512.23000000001</v>
      </c>
      <c r="E299" s="37" t="s">
        <v>133</v>
      </c>
      <c r="F299" s="67">
        <v>46238</v>
      </c>
    </row>
    <row r="301" spans="1:17" ht="15.75" thickBot="1" x14ac:dyDescent="0.3"/>
    <row r="302" spans="1:17" x14ac:dyDescent="0.25">
      <c r="A302" s="21" t="s">
        <v>4</v>
      </c>
      <c r="B302" s="22" t="s">
        <v>5</v>
      </c>
      <c r="C302" s="23">
        <v>20</v>
      </c>
      <c r="D302" s="24"/>
      <c r="E302" s="24" t="s">
        <v>6</v>
      </c>
      <c r="F302" s="26">
        <f>SUBTOTAL(2,B313:B320)</f>
        <v>1</v>
      </c>
    </row>
    <row r="303" spans="1:17" x14ac:dyDescent="0.25">
      <c r="B303" s="99" t="s">
        <v>7</v>
      </c>
      <c r="C303" s="100"/>
      <c r="D303" s="100"/>
      <c r="E303" s="100"/>
      <c r="F303" s="101"/>
    </row>
    <row r="304" spans="1:17" x14ac:dyDescent="0.25">
      <c r="B304" s="99">
        <v>2000006</v>
      </c>
      <c r="C304" s="100"/>
      <c r="D304" s="100"/>
      <c r="E304" s="100"/>
      <c r="F304" s="101"/>
    </row>
    <row r="305" spans="1:6" x14ac:dyDescent="0.25">
      <c r="B305" s="111" t="s">
        <v>9</v>
      </c>
      <c r="C305" s="112"/>
      <c r="D305" s="112"/>
      <c r="E305" s="112"/>
      <c r="F305" s="113"/>
    </row>
    <row r="306" spans="1:6" x14ac:dyDescent="0.25">
      <c r="B306" s="27" t="s">
        <v>11</v>
      </c>
      <c r="C306" s="28" t="s">
        <v>12</v>
      </c>
      <c r="D306" s="28" t="s">
        <v>13</v>
      </c>
      <c r="E306" s="28" t="s">
        <v>14</v>
      </c>
      <c r="F306" s="29" t="s">
        <v>15</v>
      </c>
    </row>
    <row r="307" spans="1:6" x14ac:dyDescent="0.25">
      <c r="B307" s="30" t="s">
        <v>135</v>
      </c>
      <c r="C307" s="31" t="s">
        <v>136</v>
      </c>
      <c r="D307" s="32" t="s">
        <v>19</v>
      </c>
      <c r="E307" s="33">
        <v>46195</v>
      </c>
      <c r="F307" s="34">
        <v>648430.57999999996</v>
      </c>
    </row>
    <row r="308" spans="1:6" x14ac:dyDescent="0.25">
      <c r="B308" s="27" t="s">
        <v>21</v>
      </c>
      <c r="C308" s="28" t="s">
        <v>22</v>
      </c>
      <c r="D308" s="28" t="s">
        <v>23</v>
      </c>
      <c r="E308" s="28" t="s">
        <v>24</v>
      </c>
      <c r="F308" s="29" t="s">
        <v>25</v>
      </c>
    </row>
    <row r="309" spans="1:6" x14ac:dyDescent="0.25">
      <c r="B309" s="30" t="s">
        <v>137</v>
      </c>
      <c r="C309" s="31" t="s">
        <v>109</v>
      </c>
      <c r="D309" s="47">
        <v>46218</v>
      </c>
      <c r="E309" s="35">
        <v>46239</v>
      </c>
      <c r="F309" s="34">
        <f>SUM(D313:D314)</f>
        <v>0</v>
      </c>
    </row>
    <row r="310" spans="1:6" x14ac:dyDescent="0.25">
      <c r="B310" s="105" t="s">
        <v>30</v>
      </c>
      <c r="C310" s="106"/>
      <c r="D310" s="106"/>
      <c r="E310" s="106"/>
      <c r="F310" s="107"/>
    </row>
    <row r="311" spans="1:6" x14ac:dyDescent="0.25">
      <c r="B311" s="114">
        <f>F307-F309</f>
        <v>648430.57999999996</v>
      </c>
      <c r="C311" s="115"/>
      <c r="D311" s="115"/>
      <c r="E311" s="115"/>
      <c r="F311" s="116"/>
    </row>
    <row r="312" spans="1:6" x14ac:dyDescent="0.25">
      <c r="B312" s="27" t="s">
        <v>31</v>
      </c>
      <c r="C312" s="28" t="s">
        <v>32</v>
      </c>
      <c r="D312" s="28" t="s">
        <v>33</v>
      </c>
      <c r="E312" s="28" t="s">
        <v>34</v>
      </c>
      <c r="F312" s="29" t="s">
        <v>35</v>
      </c>
    </row>
    <row r="313" spans="1:6" ht="15.75" thickBot="1" x14ac:dyDescent="0.3">
      <c r="A313" s="21" t="s">
        <v>4</v>
      </c>
      <c r="B313" s="48" t="s">
        <v>4</v>
      </c>
      <c r="C313" s="49"/>
      <c r="D313" s="50"/>
      <c r="E313" s="49"/>
      <c r="F313" s="51" t="s">
        <v>138</v>
      </c>
    </row>
    <row r="315" spans="1:6" ht="15.75" thickBot="1" x14ac:dyDescent="0.3"/>
    <row r="316" spans="1:6" x14ac:dyDescent="0.25">
      <c r="A316" s="21" t="s">
        <v>4</v>
      </c>
      <c r="B316" s="22" t="s">
        <v>5</v>
      </c>
      <c r="C316" s="23">
        <v>21</v>
      </c>
      <c r="D316" s="24"/>
      <c r="E316" s="24" t="s">
        <v>6</v>
      </c>
      <c r="F316" s="26">
        <f>SUBTOTAL(2,B327)</f>
        <v>0</v>
      </c>
    </row>
    <row r="317" spans="1:6" x14ac:dyDescent="0.25">
      <c r="B317" s="99" t="s">
        <v>125</v>
      </c>
      <c r="C317" s="100"/>
      <c r="D317" s="100"/>
      <c r="E317" s="100"/>
      <c r="F317" s="101"/>
    </row>
    <row r="318" spans="1:6" x14ac:dyDescent="0.25">
      <c r="B318" s="99">
        <f>VLOOKUP(B317,'Cust Data'!C3:E133,3,FALSE)</f>
        <v>2001514</v>
      </c>
      <c r="C318" s="100"/>
      <c r="D318" s="100"/>
      <c r="E318" s="100"/>
      <c r="F318" s="101"/>
    </row>
    <row r="319" spans="1:6" x14ac:dyDescent="0.25">
      <c r="B319" s="111" t="s">
        <v>126</v>
      </c>
      <c r="C319" s="112"/>
      <c r="D319" s="112"/>
      <c r="E319" s="112"/>
      <c r="F319" s="113"/>
    </row>
    <row r="320" spans="1:6" x14ac:dyDescent="0.25">
      <c r="B320" s="27" t="s">
        <v>11</v>
      </c>
      <c r="C320" s="28" t="s">
        <v>12</v>
      </c>
      <c r="D320" s="28" t="s">
        <v>13</v>
      </c>
      <c r="E320" s="28" t="s">
        <v>14</v>
      </c>
      <c r="F320" s="29" t="s">
        <v>15</v>
      </c>
    </row>
    <row r="321" spans="1:6" x14ac:dyDescent="0.25">
      <c r="B321" s="30" t="s">
        <v>127</v>
      </c>
      <c r="C321" s="31" t="s">
        <v>128</v>
      </c>
      <c r="D321" s="32" t="s">
        <v>64</v>
      </c>
      <c r="E321" s="33">
        <v>46166</v>
      </c>
      <c r="F321" s="34">
        <v>148875.1</v>
      </c>
    </row>
    <row r="322" spans="1:6" x14ac:dyDescent="0.25">
      <c r="B322" s="27" t="s">
        <v>21</v>
      </c>
      <c r="C322" s="28" t="s">
        <v>22</v>
      </c>
      <c r="D322" s="28" t="s">
        <v>23</v>
      </c>
      <c r="E322" s="28" t="s">
        <v>24</v>
      </c>
      <c r="F322" s="29" t="s">
        <v>25</v>
      </c>
    </row>
    <row r="323" spans="1:6" x14ac:dyDescent="0.25">
      <c r="B323" s="30" t="s">
        <v>66</v>
      </c>
      <c r="C323" s="31" t="s">
        <v>129</v>
      </c>
      <c r="D323" s="47">
        <v>46257</v>
      </c>
      <c r="E323" s="35">
        <v>46257</v>
      </c>
      <c r="F323" s="34">
        <f>SUM(D327:D328)</f>
        <v>0</v>
      </c>
    </row>
    <row r="324" spans="1:6" x14ac:dyDescent="0.25">
      <c r="B324" s="105" t="s">
        <v>30</v>
      </c>
      <c r="C324" s="106"/>
      <c r="D324" s="106"/>
      <c r="E324" s="106"/>
      <c r="F324" s="107"/>
    </row>
    <row r="325" spans="1:6" x14ac:dyDescent="0.25">
      <c r="B325" s="114">
        <f>F321-F323</f>
        <v>148875.1</v>
      </c>
      <c r="C325" s="115"/>
      <c r="D325" s="115"/>
      <c r="E325" s="115"/>
      <c r="F325" s="116"/>
    </row>
    <row r="326" spans="1:6" x14ac:dyDescent="0.25">
      <c r="B326" s="27" t="s">
        <v>31</v>
      </c>
      <c r="C326" s="28" t="s">
        <v>32</v>
      </c>
      <c r="D326" s="28" t="s">
        <v>33</v>
      </c>
      <c r="E326" s="28" t="s">
        <v>34</v>
      </c>
      <c r="F326" s="29" t="s">
        <v>35</v>
      </c>
    </row>
    <row r="327" spans="1:6" ht="15.75" thickBot="1" x14ac:dyDescent="0.3">
      <c r="B327" s="48" t="s">
        <v>4</v>
      </c>
      <c r="C327" s="49"/>
      <c r="D327" s="50"/>
      <c r="E327" s="49"/>
      <c r="F327" s="51" t="s">
        <v>138</v>
      </c>
    </row>
    <row r="329" spans="1:6" ht="15.75" thickBot="1" x14ac:dyDescent="0.3"/>
    <row r="330" spans="1:6" x14ac:dyDescent="0.25">
      <c r="A330" s="21" t="s">
        <v>4</v>
      </c>
      <c r="B330" s="22" t="s">
        <v>5</v>
      </c>
      <c r="C330" s="23">
        <v>22</v>
      </c>
      <c r="D330" s="24"/>
      <c r="E330" s="24" t="s">
        <v>6</v>
      </c>
      <c r="F330" s="26">
        <f>SUBTOTAL(2,B341)</f>
        <v>1</v>
      </c>
    </row>
    <row r="331" spans="1:6" x14ac:dyDescent="0.25">
      <c r="B331" s="99" t="s">
        <v>83</v>
      </c>
      <c r="C331" s="100"/>
      <c r="D331" s="100"/>
      <c r="E331" s="100"/>
      <c r="F331" s="101"/>
    </row>
    <row r="332" spans="1:6" x14ac:dyDescent="0.25">
      <c r="B332" s="99">
        <f>VLOOKUP(B331,'Cust Data'!C17:E147,3,FALSE)</f>
        <v>2001209</v>
      </c>
      <c r="C332" s="100"/>
      <c r="D332" s="100"/>
      <c r="E332" s="100"/>
      <c r="F332" s="101"/>
    </row>
    <row r="333" spans="1:6" x14ac:dyDescent="0.25">
      <c r="B333" s="99" t="str">
        <f>VLOOKUP(B331,'Cust Data'!C18:E148,2,FALSE)</f>
        <v>Ethiopia</v>
      </c>
      <c r="C333" s="100"/>
      <c r="D333" s="100"/>
      <c r="E333" s="100"/>
      <c r="F333" s="101"/>
    </row>
    <row r="334" spans="1:6" x14ac:dyDescent="0.25">
      <c r="B334" s="27" t="s">
        <v>11</v>
      </c>
      <c r="C334" s="28" t="s">
        <v>12</v>
      </c>
      <c r="D334" s="28" t="s">
        <v>13</v>
      </c>
      <c r="E334" s="28" t="s">
        <v>14</v>
      </c>
      <c r="F334" s="29" t="s">
        <v>15</v>
      </c>
    </row>
    <row r="335" spans="1:6" x14ac:dyDescent="0.25">
      <c r="B335" s="30" t="s">
        <v>139</v>
      </c>
      <c r="C335" s="31" t="s">
        <v>139</v>
      </c>
      <c r="D335" s="32" t="s">
        <v>87</v>
      </c>
      <c r="E335" s="33">
        <v>46230</v>
      </c>
      <c r="F335" s="34">
        <v>31941.87</v>
      </c>
    </row>
    <row r="336" spans="1:6" x14ac:dyDescent="0.25">
      <c r="B336" s="27" t="s">
        <v>21</v>
      </c>
      <c r="C336" s="28" t="s">
        <v>22</v>
      </c>
      <c r="D336" s="28" t="s">
        <v>23</v>
      </c>
      <c r="E336" s="28" t="s">
        <v>24</v>
      </c>
      <c r="F336" s="29" t="s">
        <v>25</v>
      </c>
    </row>
    <row r="337" spans="1:6" x14ac:dyDescent="0.25">
      <c r="B337" s="30" t="s">
        <v>89</v>
      </c>
      <c r="C337" s="31" t="s">
        <v>140</v>
      </c>
      <c r="D337" s="47">
        <v>46298</v>
      </c>
      <c r="E337" s="35">
        <v>46319</v>
      </c>
      <c r="F337" s="34">
        <f>SUM(D341:D342)</f>
        <v>31491.87</v>
      </c>
    </row>
    <row r="338" spans="1:6" x14ac:dyDescent="0.25">
      <c r="B338" s="105" t="s">
        <v>30</v>
      </c>
      <c r="C338" s="106"/>
      <c r="D338" s="106"/>
      <c r="E338" s="106"/>
      <c r="F338" s="107"/>
    </row>
    <row r="339" spans="1:6" x14ac:dyDescent="0.25">
      <c r="B339" s="114">
        <f>F335-F337</f>
        <v>450</v>
      </c>
      <c r="C339" s="115"/>
      <c r="D339" s="115"/>
      <c r="E339" s="115"/>
      <c r="F339" s="116"/>
    </row>
    <row r="340" spans="1:6" x14ac:dyDescent="0.25">
      <c r="B340" s="27" t="s">
        <v>31</v>
      </c>
      <c r="C340" s="28" t="s">
        <v>32</v>
      </c>
      <c r="D340" s="28" t="s">
        <v>33</v>
      </c>
      <c r="E340" s="28" t="s">
        <v>34</v>
      </c>
      <c r="F340" s="29" t="s">
        <v>35</v>
      </c>
    </row>
    <row r="341" spans="1:6" ht="15.75" thickBot="1" x14ac:dyDescent="0.3">
      <c r="B341" s="48">
        <v>1</v>
      </c>
      <c r="C341" s="49">
        <v>91234848</v>
      </c>
      <c r="D341" s="50">
        <v>31491.87</v>
      </c>
      <c r="E341" s="64">
        <v>46231</v>
      </c>
      <c r="F341" s="33">
        <v>46236</v>
      </c>
    </row>
    <row r="343" spans="1:6" ht="15.75" thickBot="1" x14ac:dyDescent="0.3"/>
    <row r="344" spans="1:6" x14ac:dyDescent="0.25">
      <c r="A344" s="21" t="s">
        <v>4</v>
      </c>
      <c r="B344" s="22" t="s">
        <v>5</v>
      </c>
      <c r="C344" s="23">
        <v>23</v>
      </c>
      <c r="D344" s="24"/>
      <c r="E344" s="24" t="s">
        <v>6</v>
      </c>
      <c r="F344" s="26">
        <f>SUBTOTAL(2,B355)</f>
        <v>1</v>
      </c>
    </row>
    <row r="345" spans="1:6" x14ac:dyDescent="0.25">
      <c r="B345" s="99" t="s">
        <v>60</v>
      </c>
      <c r="C345" s="100"/>
      <c r="D345" s="100"/>
      <c r="E345" s="100"/>
      <c r="F345" s="101"/>
    </row>
    <row r="346" spans="1:6" x14ac:dyDescent="0.25">
      <c r="B346" s="99">
        <f>VLOOKUP(B345,'Cust Data'!C31:E161,3,FALSE)</f>
        <v>2000012</v>
      </c>
      <c r="C346" s="100"/>
      <c r="D346" s="100"/>
      <c r="E346" s="100"/>
      <c r="F346" s="101"/>
    </row>
    <row r="347" spans="1:6" x14ac:dyDescent="0.25">
      <c r="B347" s="99" t="str">
        <f>VLOOKUP(B345,'Cust Data'!C32:E162,2,FALSE)</f>
        <v xml:space="preserve">Libya </v>
      </c>
      <c r="C347" s="100"/>
      <c r="D347" s="100"/>
      <c r="E347" s="100"/>
      <c r="F347" s="101"/>
    </row>
    <row r="348" spans="1:6" x14ac:dyDescent="0.25">
      <c r="B348" s="27" t="s">
        <v>11</v>
      </c>
      <c r="C348" s="28" t="s">
        <v>12</v>
      </c>
      <c r="D348" s="28" t="s">
        <v>13</v>
      </c>
      <c r="E348" s="28" t="s">
        <v>14</v>
      </c>
      <c r="F348" s="29" t="s">
        <v>15</v>
      </c>
    </row>
    <row r="349" spans="1:6" x14ac:dyDescent="0.25">
      <c r="B349" s="30" t="s">
        <v>141</v>
      </c>
      <c r="C349" s="31" t="s">
        <v>142</v>
      </c>
      <c r="D349" s="32" t="s">
        <v>64</v>
      </c>
      <c r="E349" s="33">
        <v>46191</v>
      </c>
      <c r="F349" s="34">
        <v>299997</v>
      </c>
    </row>
    <row r="350" spans="1:6" x14ac:dyDescent="0.25">
      <c r="B350" s="27" t="s">
        <v>21</v>
      </c>
      <c r="C350" s="28" t="s">
        <v>22</v>
      </c>
      <c r="D350" s="28" t="s">
        <v>23</v>
      </c>
      <c r="E350" s="28" t="s">
        <v>24</v>
      </c>
      <c r="F350" s="29" t="s">
        <v>25</v>
      </c>
    </row>
    <row r="351" spans="1:6" x14ac:dyDescent="0.25">
      <c r="B351" s="30" t="s">
        <v>78</v>
      </c>
      <c r="C351" s="31" t="s">
        <v>143</v>
      </c>
      <c r="D351" s="47">
        <v>46261</v>
      </c>
      <c r="E351" s="35">
        <v>46281</v>
      </c>
      <c r="F351" s="34">
        <f>SUM(D355:D356)</f>
        <v>299996.18</v>
      </c>
    </row>
    <row r="352" spans="1:6" x14ac:dyDescent="0.25">
      <c r="B352" s="105" t="s">
        <v>30</v>
      </c>
      <c r="C352" s="106"/>
      <c r="D352" s="106"/>
      <c r="E352" s="106"/>
      <c r="F352" s="107"/>
    </row>
    <row r="353" spans="1:6" x14ac:dyDescent="0.25">
      <c r="B353" s="114">
        <f>F349-F351</f>
        <v>0.82000000000698492</v>
      </c>
      <c r="C353" s="115"/>
      <c r="D353" s="115"/>
      <c r="E353" s="115"/>
      <c r="F353" s="116"/>
    </row>
    <row r="354" spans="1:6" x14ac:dyDescent="0.25">
      <c r="B354" s="27" t="s">
        <v>31</v>
      </c>
      <c r="C354" s="28" t="s">
        <v>32</v>
      </c>
      <c r="D354" s="28" t="s">
        <v>33</v>
      </c>
      <c r="E354" s="28" t="s">
        <v>34</v>
      </c>
      <c r="F354" s="29" t="s">
        <v>35</v>
      </c>
    </row>
    <row r="355" spans="1:6" ht="15.75" thickBot="1" x14ac:dyDescent="0.3">
      <c r="B355" s="48">
        <v>1</v>
      </c>
      <c r="C355" s="49">
        <v>91235049</v>
      </c>
      <c r="D355" s="50">
        <v>299996.18</v>
      </c>
      <c r="E355" s="49" t="s">
        <v>144</v>
      </c>
      <c r="F355" s="51" t="s">
        <v>145</v>
      </c>
    </row>
    <row r="357" spans="1:6" ht="15.75" thickBot="1" x14ac:dyDescent="0.3"/>
    <row r="358" spans="1:6" x14ac:dyDescent="0.25">
      <c r="A358" s="21" t="s">
        <v>4</v>
      </c>
      <c r="B358" s="22" t="s">
        <v>5</v>
      </c>
      <c r="C358" s="23">
        <v>24</v>
      </c>
      <c r="D358" s="24"/>
      <c r="E358" s="24" t="s">
        <v>6</v>
      </c>
      <c r="F358" s="26">
        <f>SUBTOTAL(2,B369)</f>
        <v>1</v>
      </c>
    </row>
    <row r="359" spans="1:6" x14ac:dyDescent="0.25">
      <c r="B359" s="99" t="s">
        <v>92</v>
      </c>
      <c r="C359" s="100"/>
      <c r="D359" s="100"/>
      <c r="E359" s="100"/>
      <c r="F359" s="101"/>
    </row>
    <row r="360" spans="1:6" x14ac:dyDescent="0.25">
      <c r="B360" s="99">
        <f>VLOOKUP(B359,'Cust Data'!C45:E175,3,FALSE)</f>
        <v>2001332</v>
      </c>
      <c r="C360" s="100"/>
      <c r="D360" s="100"/>
      <c r="E360" s="100"/>
      <c r="F360" s="101"/>
    </row>
    <row r="361" spans="1:6" x14ac:dyDescent="0.25">
      <c r="B361" s="99" t="str">
        <f>VLOOKUP(B359,'Cust Data'!C46:E176,2,FALSE)</f>
        <v>Ethiopia</v>
      </c>
      <c r="C361" s="100"/>
      <c r="D361" s="100"/>
      <c r="E361" s="100"/>
      <c r="F361" s="101"/>
    </row>
    <row r="362" spans="1:6" x14ac:dyDescent="0.25">
      <c r="B362" s="27" t="s">
        <v>11</v>
      </c>
      <c r="C362" s="28" t="s">
        <v>12</v>
      </c>
      <c r="D362" s="28" t="s">
        <v>13</v>
      </c>
      <c r="E362" s="28" t="s">
        <v>14</v>
      </c>
      <c r="F362" s="29" t="s">
        <v>15</v>
      </c>
    </row>
    <row r="363" spans="1:6" x14ac:dyDescent="0.25">
      <c r="B363" s="30" t="s">
        <v>146</v>
      </c>
      <c r="C363" s="31" t="s">
        <v>147</v>
      </c>
      <c r="D363" s="32" t="s">
        <v>87</v>
      </c>
      <c r="E363" s="35">
        <v>46199</v>
      </c>
      <c r="F363" s="34">
        <v>339329.1</v>
      </c>
    </row>
    <row r="364" spans="1:6" x14ac:dyDescent="0.25">
      <c r="B364" s="27" t="s">
        <v>21</v>
      </c>
      <c r="C364" s="28" t="s">
        <v>22</v>
      </c>
      <c r="D364" s="28" t="s">
        <v>23</v>
      </c>
      <c r="E364" s="28" t="s">
        <v>24</v>
      </c>
      <c r="F364" s="29" t="s">
        <v>25</v>
      </c>
    </row>
    <row r="365" spans="1:6" x14ac:dyDescent="0.25">
      <c r="B365" s="30" t="s">
        <v>89</v>
      </c>
      <c r="C365" s="31" t="s">
        <v>148</v>
      </c>
      <c r="D365" s="47">
        <v>46267</v>
      </c>
      <c r="E365" s="35">
        <v>46288</v>
      </c>
      <c r="F365" s="34">
        <f>SUM(D369:D370)</f>
        <v>209276.4</v>
      </c>
    </row>
    <row r="366" spans="1:6" x14ac:dyDescent="0.25">
      <c r="B366" s="105" t="s">
        <v>30</v>
      </c>
      <c r="C366" s="106"/>
      <c r="D366" s="106"/>
      <c r="E366" s="106"/>
      <c r="F366" s="107"/>
    </row>
    <row r="367" spans="1:6" x14ac:dyDescent="0.25">
      <c r="B367" s="114">
        <f>F363-F365</f>
        <v>130052.69999999998</v>
      </c>
      <c r="C367" s="115"/>
      <c r="D367" s="115"/>
      <c r="E367" s="115"/>
      <c r="F367" s="116"/>
    </row>
    <row r="368" spans="1:6" x14ac:dyDescent="0.25">
      <c r="B368" s="27" t="s">
        <v>31</v>
      </c>
      <c r="C368" s="28" t="s">
        <v>32</v>
      </c>
      <c r="D368" s="28" t="s">
        <v>33</v>
      </c>
      <c r="E368" s="28" t="s">
        <v>34</v>
      </c>
      <c r="F368" s="29" t="s">
        <v>35</v>
      </c>
    </row>
    <row r="369" spans="1:6" ht="15.75" thickBot="1" x14ac:dyDescent="0.3">
      <c r="B369" s="48">
        <v>1</v>
      </c>
      <c r="C369" s="49">
        <v>91233757</v>
      </c>
      <c r="D369" s="50">
        <v>209276.4</v>
      </c>
      <c r="E369" s="49" t="s">
        <v>149</v>
      </c>
      <c r="F369" s="51" t="s">
        <v>145</v>
      </c>
    </row>
    <row r="371" spans="1:6" ht="15.75" thickBot="1" x14ac:dyDescent="0.3"/>
    <row r="372" spans="1:6" x14ac:dyDescent="0.25">
      <c r="A372" s="21" t="s">
        <v>4</v>
      </c>
      <c r="B372" s="22" t="s">
        <v>5</v>
      </c>
      <c r="C372" s="23">
        <v>25</v>
      </c>
      <c r="D372" s="24"/>
      <c r="E372" s="24" t="s">
        <v>6</v>
      </c>
      <c r="F372" s="26">
        <f>SUBTOTAL(2,B383:B385)</f>
        <v>3</v>
      </c>
    </row>
    <row r="373" spans="1:6" x14ac:dyDescent="0.25">
      <c r="B373" s="99" t="s">
        <v>72</v>
      </c>
      <c r="C373" s="100"/>
      <c r="D373" s="100"/>
      <c r="E373" s="100"/>
      <c r="F373" s="101"/>
    </row>
    <row r="374" spans="1:6" x14ac:dyDescent="0.25">
      <c r="B374" s="99">
        <f>VLOOKUP(B373,'Cust Data'!C31:E161,3,FALSE)</f>
        <v>2000022</v>
      </c>
      <c r="C374" s="100"/>
      <c r="D374" s="100"/>
      <c r="E374" s="100"/>
      <c r="F374" s="101"/>
    </row>
    <row r="375" spans="1:6" x14ac:dyDescent="0.25">
      <c r="B375" s="111" t="str">
        <f>VLOOKUP(B373,'Cust Data'!C32:E162,2,FALSE)</f>
        <v xml:space="preserve">Morocco </v>
      </c>
      <c r="C375" s="112"/>
      <c r="D375" s="112"/>
      <c r="E375" s="112"/>
      <c r="F375" s="113"/>
    </row>
    <row r="376" spans="1:6" x14ac:dyDescent="0.25">
      <c r="B376" s="27" t="s">
        <v>11</v>
      </c>
      <c r="C376" s="28" t="s">
        <v>12</v>
      </c>
      <c r="D376" s="28" t="s">
        <v>13</v>
      </c>
      <c r="E376" s="28" t="s">
        <v>14</v>
      </c>
      <c r="F376" s="29" t="s">
        <v>15</v>
      </c>
    </row>
    <row r="377" spans="1:6" x14ac:dyDescent="0.25">
      <c r="B377" s="30" t="s">
        <v>150</v>
      </c>
      <c r="C377" s="31" t="s">
        <v>151</v>
      </c>
      <c r="D377" s="32" t="s">
        <v>152</v>
      </c>
      <c r="E377" s="35">
        <v>46241</v>
      </c>
      <c r="F377" s="34">
        <v>1342465.55</v>
      </c>
    </row>
    <row r="378" spans="1:6" x14ac:dyDescent="0.25">
      <c r="B378" s="27" t="s">
        <v>21</v>
      </c>
      <c r="C378" s="28" t="s">
        <v>22</v>
      </c>
      <c r="D378" s="28" t="s">
        <v>23</v>
      </c>
      <c r="E378" s="28" t="s">
        <v>24</v>
      </c>
      <c r="F378" s="29" t="s">
        <v>25</v>
      </c>
    </row>
    <row r="379" spans="1:6" ht="24" x14ac:dyDescent="0.25">
      <c r="B379" s="30" t="s">
        <v>78</v>
      </c>
      <c r="C379" s="31" t="s">
        <v>153</v>
      </c>
      <c r="D379" s="35">
        <v>46387</v>
      </c>
      <c r="E379" s="47">
        <v>46407</v>
      </c>
      <c r="F379" s="34">
        <f>SUM(D383:D385)</f>
        <v>767996.81</v>
      </c>
    </row>
    <row r="380" spans="1:6" x14ac:dyDescent="0.25">
      <c r="B380" s="105" t="s">
        <v>30</v>
      </c>
      <c r="C380" s="106"/>
      <c r="D380" s="106"/>
      <c r="E380" s="106"/>
      <c r="F380" s="107"/>
    </row>
    <row r="381" spans="1:6" x14ac:dyDescent="0.25">
      <c r="B381" s="114">
        <f>F377-F379</f>
        <v>574468.74</v>
      </c>
      <c r="C381" s="115"/>
      <c r="D381" s="115"/>
      <c r="E381" s="115"/>
      <c r="F381" s="116"/>
    </row>
    <row r="382" spans="1:6" x14ac:dyDescent="0.25">
      <c r="B382" s="27" t="s">
        <v>31</v>
      </c>
      <c r="C382" s="28" t="s">
        <v>32</v>
      </c>
      <c r="D382" s="28" t="s">
        <v>33</v>
      </c>
      <c r="E382" s="28" t="s">
        <v>34</v>
      </c>
      <c r="F382" s="29" t="s">
        <v>35</v>
      </c>
    </row>
    <row r="383" spans="1:6" ht="15.75" thickBot="1" x14ac:dyDescent="0.3">
      <c r="B383" s="48">
        <v>1</v>
      </c>
      <c r="C383" s="49">
        <v>91235061</v>
      </c>
      <c r="D383" s="50">
        <v>580964.27</v>
      </c>
      <c r="E383" s="49" t="s">
        <v>154</v>
      </c>
      <c r="F383" s="51" t="s">
        <v>4</v>
      </c>
    </row>
    <row r="384" spans="1:6" ht="15.75" thickBot="1" x14ac:dyDescent="0.3">
      <c r="B384" s="48">
        <v>2</v>
      </c>
      <c r="C384" s="49">
        <v>91235062</v>
      </c>
      <c r="D384" s="50">
        <v>87185.66</v>
      </c>
      <c r="E384" s="49" t="s">
        <v>154</v>
      </c>
      <c r="F384" s="51" t="s">
        <v>4</v>
      </c>
    </row>
    <row r="385" spans="1:6" ht="15.75" thickBot="1" x14ac:dyDescent="0.3">
      <c r="B385" s="48">
        <v>3</v>
      </c>
      <c r="C385" s="49">
        <v>91237519</v>
      </c>
      <c r="D385" s="50">
        <v>99846.88</v>
      </c>
      <c r="E385" s="49" t="s">
        <v>155</v>
      </c>
      <c r="F385" s="51" t="s">
        <v>4</v>
      </c>
    </row>
    <row r="387" spans="1:6" ht="15.75" thickBot="1" x14ac:dyDescent="0.3"/>
    <row r="388" spans="1:6" x14ac:dyDescent="0.25">
      <c r="A388" s="21" t="s">
        <v>4</v>
      </c>
      <c r="B388" s="22" t="s">
        <v>5</v>
      </c>
      <c r="C388" s="23">
        <v>26</v>
      </c>
      <c r="D388" s="24"/>
      <c r="E388" s="24" t="s">
        <v>6</v>
      </c>
      <c r="F388" s="26">
        <f>SUBTOTAL(2,B399)</f>
        <v>1</v>
      </c>
    </row>
    <row r="389" spans="1:6" x14ac:dyDescent="0.25">
      <c r="B389" s="99" t="s">
        <v>92</v>
      </c>
      <c r="C389" s="100"/>
      <c r="D389" s="100"/>
      <c r="E389" s="100"/>
      <c r="F389" s="101"/>
    </row>
    <row r="390" spans="1:6" x14ac:dyDescent="0.25">
      <c r="B390" s="99" t="str">
        <f>VLOOKUP(B389,'Cust Data'!C31:E161,2,FALSE)</f>
        <v>Ethiopia</v>
      </c>
      <c r="C390" s="100"/>
      <c r="D390" s="100"/>
      <c r="E390" s="100"/>
      <c r="F390" s="101"/>
    </row>
    <row r="391" spans="1:6" x14ac:dyDescent="0.25">
      <c r="B391" s="111">
        <f>VLOOKUP(B389,'Cust Data'!C31:E161,3,FALSE)</f>
        <v>2001332</v>
      </c>
      <c r="C391" s="112"/>
      <c r="D391" s="112"/>
      <c r="E391" s="112"/>
      <c r="F391" s="113"/>
    </row>
    <row r="392" spans="1:6" x14ac:dyDescent="0.25">
      <c r="B392" s="27" t="s">
        <v>11</v>
      </c>
      <c r="C392" s="28" t="s">
        <v>12</v>
      </c>
      <c r="D392" s="28" t="s">
        <v>13</v>
      </c>
      <c r="E392" s="28" t="s">
        <v>14</v>
      </c>
      <c r="F392" s="29" t="s">
        <v>15</v>
      </c>
    </row>
    <row r="393" spans="1:6" x14ac:dyDescent="0.25">
      <c r="B393" s="30" t="s">
        <v>146</v>
      </c>
      <c r="C393" s="31" t="s">
        <v>147</v>
      </c>
      <c r="D393" s="32" t="s">
        <v>156</v>
      </c>
      <c r="E393" s="32">
        <v>260626</v>
      </c>
      <c r="F393" s="34">
        <v>339329.1</v>
      </c>
    </row>
    <row r="394" spans="1:6" x14ac:dyDescent="0.25">
      <c r="B394" s="27" t="s">
        <v>21</v>
      </c>
      <c r="C394" s="28" t="s">
        <v>22</v>
      </c>
      <c r="D394" s="28" t="s">
        <v>23</v>
      </c>
      <c r="E394" s="28" t="s">
        <v>24</v>
      </c>
      <c r="F394" s="29" t="s">
        <v>25</v>
      </c>
    </row>
    <row r="395" spans="1:6" x14ac:dyDescent="0.25">
      <c r="B395" s="30" t="s">
        <v>89</v>
      </c>
      <c r="C395" s="31" t="s">
        <v>148</v>
      </c>
      <c r="D395" s="32">
        <v>260902</v>
      </c>
      <c r="E395" s="32">
        <v>260923</v>
      </c>
      <c r="F395" s="34">
        <v>0</v>
      </c>
    </row>
    <row r="396" spans="1:6" x14ac:dyDescent="0.25">
      <c r="B396" s="105" t="s">
        <v>30</v>
      </c>
      <c r="C396" s="106"/>
      <c r="D396" s="106"/>
      <c r="E396" s="106"/>
      <c r="F396" s="107"/>
    </row>
    <row r="397" spans="1:6" x14ac:dyDescent="0.25">
      <c r="B397" s="114">
        <f>F393-F395</f>
        <v>339329.1</v>
      </c>
      <c r="C397" s="115"/>
      <c r="D397" s="115"/>
      <c r="E397" s="115"/>
      <c r="F397" s="116"/>
    </row>
    <row r="398" spans="1:6" x14ac:dyDescent="0.25">
      <c r="B398" s="27" t="s">
        <v>31</v>
      </c>
      <c r="C398" s="28" t="s">
        <v>32</v>
      </c>
      <c r="D398" s="28" t="s">
        <v>33</v>
      </c>
      <c r="E398" s="28" t="s">
        <v>34</v>
      </c>
      <c r="F398" s="29" t="s">
        <v>35</v>
      </c>
    </row>
    <row r="399" spans="1:6" ht="15.75" thickBot="1" x14ac:dyDescent="0.3">
      <c r="B399" s="48">
        <v>1</v>
      </c>
      <c r="C399" s="49">
        <v>91238969</v>
      </c>
      <c r="D399" s="50">
        <v>50528.63</v>
      </c>
      <c r="E399" s="49" t="s">
        <v>157</v>
      </c>
      <c r="F399" s="51" t="s">
        <v>4</v>
      </c>
    </row>
    <row r="401" spans="1:6" ht="15.75" thickBot="1" x14ac:dyDescent="0.3"/>
    <row r="402" spans="1:6" x14ac:dyDescent="0.25">
      <c r="A402" s="21" t="s">
        <v>4</v>
      </c>
      <c r="B402" s="22" t="s">
        <v>5</v>
      </c>
      <c r="C402" s="23">
        <v>27</v>
      </c>
      <c r="D402" s="24"/>
      <c r="E402" s="24" t="s">
        <v>6</v>
      </c>
      <c r="F402" s="26">
        <f>SUBTOTAL(2,B413)</f>
        <v>1</v>
      </c>
    </row>
    <row r="403" spans="1:6" x14ac:dyDescent="0.25">
      <c r="B403" s="99" t="s">
        <v>51</v>
      </c>
      <c r="C403" s="100"/>
      <c r="D403" s="100"/>
      <c r="E403" s="100"/>
      <c r="F403" s="101"/>
    </row>
    <row r="404" spans="1:6" ht="15" customHeight="1" x14ac:dyDescent="0.25">
      <c r="B404" s="102" t="str">
        <f>VLOOKUP(B403,'Cust Data'!C3:E133,2,TRUE)</f>
        <v xml:space="preserve">Iraq </v>
      </c>
      <c r="C404" s="103"/>
      <c r="D404" s="103"/>
      <c r="E404" s="103"/>
      <c r="F404" s="104"/>
    </row>
    <row r="405" spans="1:6" ht="15" customHeight="1" x14ac:dyDescent="0.25">
      <c r="B405" s="102">
        <f>VLOOKUP(B403,'Cust Data'!C3:E133,3,TRUE)</f>
        <v>2000018</v>
      </c>
      <c r="C405" s="103"/>
      <c r="D405" s="103"/>
      <c r="E405" s="103"/>
      <c r="F405" s="104"/>
    </row>
    <row r="406" spans="1:6" x14ac:dyDescent="0.25">
      <c r="B406" s="27" t="s">
        <v>11</v>
      </c>
      <c r="C406" s="28" t="s">
        <v>12</v>
      </c>
      <c r="D406" s="28" t="s">
        <v>13</v>
      </c>
      <c r="E406" s="28" t="s">
        <v>14</v>
      </c>
      <c r="F406" s="29" t="s">
        <v>15</v>
      </c>
    </row>
    <row r="407" spans="1:6" ht="24" x14ac:dyDescent="0.25">
      <c r="B407" s="30" t="s">
        <v>158</v>
      </c>
      <c r="C407" s="30"/>
      <c r="D407" s="31" t="s">
        <v>159</v>
      </c>
      <c r="E407" s="32">
        <v>260820</v>
      </c>
      <c r="F407" s="34">
        <v>1615832.6</v>
      </c>
    </row>
    <row r="408" spans="1:6" x14ac:dyDescent="0.25">
      <c r="B408" s="27" t="s">
        <v>21</v>
      </c>
      <c r="C408" s="28" t="s">
        <v>22</v>
      </c>
      <c r="D408" s="28" t="s">
        <v>23</v>
      </c>
      <c r="E408" s="28" t="s">
        <v>24</v>
      </c>
      <c r="F408" s="29" t="s">
        <v>25</v>
      </c>
    </row>
    <row r="409" spans="1:6" x14ac:dyDescent="0.25">
      <c r="B409" s="30" t="s">
        <v>160</v>
      </c>
      <c r="C409" s="30"/>
      <c r="D409" s="32">
        <v>261019</v>
      </c>
      <c r="E409" s="32">
        <v>261109</v>
      </c>
      <c r="F409" s="34">
        <f>SUM(D413:D416)</f>
        <v>1206643.1600000001</v>
      </c>
    </row>
    <row r="410" spans="1:6" x14ac:dyDescent="0.25">
      <c r="B410" s="105" t="s">
        <v>30</v>
      </c>
      <c r="C410" s="106"/>
      <c r="D410" s="106"/>
      <c r="E410" s="106"/>
      <c r="F410" s="107"/>
    </row>
    <row r="411" spans="1:6" x14ac:dyDescent="0.25">
      <c r="B411" s="108">
        <f>F407-F409</f>
        <v>409189.43999999994</v>
      </c>
      <c r="C411" s="109"/>
      <c r="D411" s="109"/>
      <c r="E411" s="109"/>
      <c r="F411" s="110"/>
    </row>
    <row r="412" spans="1:6" x14ac:dyDescent="0.25">
      <c r="B412" s="27" t="s">
        <v>31</v>
      </c>
      <c r="C412" s="28" t="s">
        <v>32</v>
      </c>
      <c r="D412" s="28" t="s">
        <v>33</v>
      </c>
      <c r="E412" s="28" t="s">
        <v>34</v>
      </c>
      <c r="F412" s="29" t="s">
        <v>35</v>
      </c>
    </row>
    <row r="413" spans="1:6" ht="15.75" thickBot="1" x14ac:dyDescent="0.3">
      <c r="B413" s="48">
        <v>1</v>
      </c>
      <c r="C413" s="49">
        <v>91238356</v>
      </c>
      <c r="D413" s="50">
        <v>178547.65</v>
      </c>
      <c r="E413" s="49" t="s">
        <v>161</v>
      </c>
      <c r="F413" s="51" t="s">
        <v>4</v>
      </c>
    </row>
    <row r="414" spans="1:6" ht="15.75" thickBot="1" x14ac:dyDescent="0.3">
      <c r="B414" s="48">
        <v>2</v>
      </c>
      <c r="C414" s="49">
        <v>91238372</v>
      </c>
      <c r="D414" s="50">
        <v>22315.52</v>
      </c>
      <c r="E414" s="49" t="s">
        <v>161</v>
      </c>
      <c r="F414" s="51" t="s">
        <v>4</v>
      </c>
    </row>
    <row r="415" spans="1:6" ht="15.75" thickBot="1" x14ac:dyDescent="0.3">
      <c r="B415" s="48">
        <v>3</v>
      </c>
      <c r="C415" s="49">
        <v>91238375</v>
      </c>
      <c r="D415" s="50">
        <v>366574.1</v>
      </c>
      <c r="E415" s="49" t="s">
        <v>161</v>
      </c>
      <c r="F415" s="51" t="s">
        <v>4</v>
      </c>
    </row>
    <row r="416" spans="1:6" ht="15.75" thickBot="1" x14ac:dyDescent="0.3">
      <c r="B416" s="48">
        <v>4</v>
      </c>
      <c r="C416" s="49">
        <v>91238790</v>
      </c>
      <c r="D416" s="50">
        <v>639205.89</v>
      </c>
      <c r="E416" s="49" t="s">
        <v>161</v>
      </c>
      <c r="F416" s="51" t="s">
        <v>4</v>
      </c>
    </row>
  </sheetData>
  <mergeCells count="141">
    <mergeCell ref="B55:F55"/>
    <mergeCell ref="B56:F56"/>
    <mergeCell ref="B61:F61"/>
    <mergeCell ref="B98:F98"/>
    <mergeCell ref="B99:F99"/>
    <mergeCell ref="B104:F104"/>
    <mergeCell ref="B105:F105"/>
    <mergeCell ref="B83:F83"/>
    <mergeCell ref="B84:F84"/>
    <mergeCell ref="B85:F85"/>
    <mergeCell ref="B62:F62"/>
    <mergeCell ref="B68:F68"/>
    <mergeCell ref="B69:F69"/>
    <mergeCell ref="B70:F70"/>
    <mergeCell ref="B75:F75"/>
    <mergeCell ref="B76:F76"/>
    <mergeCell ref="B1:F2"/>
    <mergeCell ref="B4:C4"/>
    <mergeCell ref="D4:E4"/>
    <mergeCell ref="B5:C5"/>
    <mergeCell ref="D5:E5"/>
    <mergeCell ref="B8:F8"/>
    <mergeCell ref="B46:F46"/>
    <mergeCell ref="B47:F47"/>
    <mergeCell ref="B54:F54"/>
    <mergeCell ref="B24:F24"/>
    <mergeCell ref="B29:F29"/>
    <mergeCell ref="B30:F30"/>
    <mergeCell ref="B9:F9"/>
    <mergeCell ref="B10:F10"/>
    <mergeCell ref="B15:F15"/>
    <mergeCell ref="B16:F16"/>
    <mergeCell ref="B22:F22"/>
    <mergeCell ref="B23:F23"/>
    <mergeCell ref="B39:F39"/>
    <mergeCell ref="B40:F40"/>
    <mergeCell ref="B41:F41"/>
    <mergeCell ref="B113:F113"/>
    <mergeCell ref="B114:F114"/>
    <mergeCell ref="B90:F90"/>
    <mergeCell ref="B91:F91"/>
    <mergeCell ref="B97:F97"/>
    <mergeCell ref="B141:F141"/>
    <mergeCell ref="B142:F142"/>
    <mergeCell ref="B148:F148"/>
    <mergeCell ref="B149:F149"/>
    <mergeCell ref="B150:F150"/>
    <mergeCell ref="B155:F155"/>
    <mergeCell ref="B115:F115"/>
    <mergeCell ref="B120:F120"/>
    <mergeCell ref="B121:F121"/>
    <mergeCell ref="B134:F134"/>
    <mergeCell ref="B135:F135"/>
    <mergeCell ref="B136:F136"/>
    <mergeCell ref="B177:F177"/>
    <mergeCell ref="B178:F178"/>
    <mergeCell ref="B179:F179"/>
    <mergeCell ref="B184:F184"/>
    <mergeCell ref="B185:F185"/>
    <mergeCell ref="B191:F191"/>
    <mergeCell ref="B156:F156"/>
    <mergeCell ref="B163:F163"/>
    <mergeCell ref="B164:F164"/>
    <mergeCell ref="B165:F165"/>
    <mergeCell ref="B170:F170"/>
    <mergeCell ref="B171:F171"/>
    <mergeCell ref="B208:F208"/>
    <mergeCell ref="B213:F213"/>
    <mergeCell ref="B214:F214"/>
    <mergeCell ref="B224:F224"/>
    <mergeCell ref="B225:F225"/>
    <mergeCell ref="B226:F226"/>
    <mergeCell ref="B192:F192"/>
    <mergeCell ref="B193:F193"/>
    <mergeCell ref="B198:F198"/>
    <mergeCell ref="B199:F199"/>
    <mergeCell ref="B206:F206"/>
    <mergeCell ref="B207:F207"/>
    <mergeCell ref="B261:F261"/>
    <mergeCell ref="B266:F266"/>
    <mergeCell ref="B267:F267"/>
    <mergeCell ref="B231:F231"/>
    <mergeCell ref="B232:F232"/>
    <mergeCell ref="B245:F245"/>
    <mergeCell ref="B246:F246"/>
    <mergeCell ref="B247:F247"/>
    <mergeCell ref="B252:F252"/>
    <mergeCell ref="B317:F317"/>
    <mergeCell ref="B318:F318"/>
    <mergeCell ref="B319:F319"/>
    <mergeCell ref="B324:F324"/>
    <mergeCell ref="B325:F325"/>
    <mergeCell ref="B305:F305"/>
    <mergeCell ref="B310:F310"/>
    <mergeCell ref="B311:F311"/>
    <mergeCell ref="H7:I7"/>
    <mergeCell ref="B289:F289"/>
    <mergeCell ref="B290:F290"/>
    <mergeCell ref="B295:F295"/>
    <mergeCell ref="B296:F296"/>
    <mergeCell ref="B303:F303"/>
    <mergeCell ref="B304:F304"/>
    <mergeCell ref="B274:F274"/>
    <mergeCell ref="B275:F275"/>
    <mergeCell ref="B276:F276"/>
    <mergeCell ref="B281:F281"/>
    <mergeCell ref="B282:F282"/>
    <mergeCell ref="B288:F288"/>
    <mergeCell ref="B253:F253"/>
    <mergeCell ref="B259:F259"/>
    <mergeCell ref="B260:F260"/>
    <mergeCell ref="B331:F331"/>
    <mergeCell ref="B332:F332"/>
    <mergeCell ref="B333:F333"/>
    <mergeCell ref="B338:F338"/>
    <mergeCell ref="B339:F339"/>
    <mergeCell ref="B367:F367"/>
    <mergeCell ref="B345:F345"/>
    <mergeCell ref="B346:F346"/>
    <mergeCell ref="B347:F347"/>
    <mergeCell ref="B352:F352"/>
    <mergeCell ref="B353:F353"/>
    <mergeCell ref="B359:F359"/>
    <mergeCell ref="B360:F360"/>
    <mergeCell ref="B361:F361"/>
    <mergeCell ref="B366:F366"/>
    <mergeCell ref="B403:F403"/>
    <mergeCell ref="B404:F404"/>
    <mergeCell ref="B405:F405"/>
    <mergeCell ref="B410:F410"/>
    <mergeCell ref="B411:F411"/>
    <mergeCell ref="B373:F373"/>
    <mergeCell ref="B374:F374"/>
    <mergeCell ref="B375:F375"/>
    <mergeCell ref="B380:F380"/>
    <mergeCell ref="B381:F381"/>
    <mergeCell ref="B389:F389"/>
    <mergeCell ref="B390:F390"/>
    <mergeCell ref="B391:F391"/>
    <mergeCell ref="B396:F396"/>
    <mergeCell ref="B397:F397"/>
  </mergeCells>
  <phoneticPr fontId="16" type="noConversion"/>
  <conditionalFormatting sqref="B16">
    <cfRule type="cellIs" dxfId="103" priority="70" operator="lessThan">
      <formula>0</formula>
    </cfRule>
    <cfRule type="cellIs" dxfId="102" priority="71" operator="equal">
      <formula>0</formula>
    </cfRule>
    <cfRule type="cellIs" dxfId="101" priority="72" operator="greaterThan">
      <formula>0</formula>
    </cfRule>
  </conditionalFormatting>
  <conditionalFormatting sqref="B30">
    <cfRule type="cellIs" dxfId="100" priority="79" operator="lessThan">
      <formula>0</formula>
    </cfRule>
    <cfRule type="cellIs" dxfId="99" priority="80" operator="equal">
      <formula>0</formula>
    </cfRule>
    <cfRule type="cellIs" dxfId="98" priority="81" operator="greaterThan">
      <formula>0</formula>
    </cfRule>
  </conditionalFormatting>
  <conditionalFormatting sqref="B47">
    <cfRule type="cellIs" dxfId="97" priority="76" operator="lessThan">
      <formula>0</formula>
    </cfRule>
    <cfRule type="cellIs" dxfId="96" priority="77" operator="equal">
      <formula>0</formula>
    </cfRule>
    <cfRule type="cellIs" dxfId="95" priority="78" operator="greaterThan">
      <formula>0</formula>
    </cfRule>
  </conditionalFormatting>
  <conditionalFormatting sqref="B62">
    <cfRule type="cellIs" dxfId="94" priority="73" operator="lessThan">
      <formula>0</formula>
    </cfRule>
    <cfRule type="cellIs" dxfId="93" priority="74" operator="equal">
      <formula>0</formula>
    </cfRule>
    <cfRule type="cellIs" dxfId="92" priority="75" operator="greaterThan">
      <formula>0</formula>
    </cfRule>
  </conditionalFormatting>
  <conditionalFormatting sqref="B76">
    <cfRule type="cellIs" dxfId="91" priority="67" operator="lessThan">
      <formula>0</formula>
    </cfRule>
    <cfRule type="cellIs" dxfId="90" priority="68" operator="equal">
      <formula>0</formula>
    </cfRule>
    <cfRule type="cellIs" dxfId="89" priority="69" operator="greaterThan">
      <formula>0</formula>
    </cfRule>
  </conditionalFormatting>
  <conditionalFormatting sqref="B91">
    <cfRule type="cellIs" dxfId="88" priority="64" operator="lessThan">
      <formula>0</formula>
    </cfRule>
    <cfRule type="cellIs" dxfId="87" priority="65" operator="equal">
      <formula>0</formula>
    </cfRule>
    <cfRule type="cellIs" dxfId="86" priority="66" operator="greaterThan">
      <formula>0</formula>
    </cfRule>
  </conditionalFormatting>
  <conditionalFormatting sqref="B105">
    <cfRule type="cellIs" dxfId="85" priority="61" operator="lessThan">
      <formula>0</formula>
    </cfRule>
    <cfRule type="cellIs" dxfId="84" priority="62" operator="equal">
      <formula>0</formula>
    </cfRule>
    <cfRule type="cellIs" dxfId="83" priority="63" operator="greaterThan">
      <formula>0</formula>
    </cfRule>
  </conditionalFormatting>
  <conditionalFormatting sqref="B121">
    <cfRule type="cellIs" dxfId="82" priority="58" operator="lessThan">
      <formula>0</formula>
    </cfRule>
    <cfRule type="cellIs" dxfId="81" priority="59" operator="equal">
      <formula>0</formula>
    </cfRule>
    <cfRule type="cellIs" dxfId="80" priority="60" operator="greaterThan">
      <formula>0</formula>
    </cfRule>
  </conditionalFormatting>
  <conditionalFormatting sqref="B142">
    <cfRule type="cellIs" dxfId="79" priority="55" operator="lessThan">
      <formula>0</formula>
    </cfRule>
    <cfRule type="cellIs" dxfId="78" priority="56" operator="equal">
      <formula>0</formula>
    </cfRule>
    <cfRule type="cellIs" dxfId="77" priority="57" operator="greaterThan">
      <formula>0</formula>
    </cfRule>
  </conditionalFormatting>
  <conditionalFormatting sqref="B156">
    <cfRule type="cellIs" dxfId="76" priority="52" operator="lessThan">
      <formula>0</formula>
    </cfRule>
    <cfRule type="cellIs" dxfId="75" priority="53" operator="equal">
      <formula>0</formula>
    </cfRule>
    <cfRule type="cellIs" dxfId="74" priority="54" operator="greaterThan">
      <formula>0</formula>
    </cfRule>
  </conditionalFormatting>
  <conditionalFormatting sqref="B171">
    <cfRule type="cellIs" dxfId="73" priority="49" operator="lessThan">
      <formula>0</formula>
    </cfRule>
    <cfRule type="cellIs" dxfId="72" priority="50" operator="equal">
      <formula>0</formula>
    </cfRule>
    <cfRule type="cellIs" dxfId="71" priority="51" operator="greaterThan">
      <formula>0</formula>
    </cfRule>
  </conditionalFormatting>
  <conditionalFormatting sqref="B185">
    <cfRule type="cellIs" dxfId="70" priority="46" operator="lessThan">
      <formula>0</formula>
    </cfRule>
    <cfRule type="cellIs" dxfId="69" priority="47" operator="equal">
      <formula>0</formula>
    </cfRule>
    <cfRule type="cellIs" dxfId="68" priority="48" operator="greaterThan">
      <formula>0</formula>
    </cfRule>
  </conditionalFormatting>
  <conditionalFormatting sqref="B199">
    <cfRule type="cellIs" dxfId="67" priority="43" operator="lessThan">
      <formula>0</formula>
    </cfRule>
    <cfRule type="cellIs" dxfId="66" priority="44" operator="equal">
      <formula>0</formula>
    </cfRule>
    <cfRule type="cellIs" dxfId="65" priority="45" operator="greaterThan">
      <formula>0</formula>
    </cfRule>
  </conditionalFormatting>
  <conditionalFormatting sqref="B214">
    <cfRule type="cellIs" dxfId="64" priority="40" operator="lessThan">
      <formula>0</formula>
    </cfRule>
    <cfRule type="cellIs" dxfId="63" priority="41" operator="equal">
      <formula>0</formula>
    </cfRule>
    <cfRule type="cellIs" dxfId="62" priority="42" operator="greaterThan">
      <formula>0</formula>
    </cfRule>
  </conditionalFormatting>
  <conditionalFormatting sqref="B232">
    <cfRule type="cellIs" dxfId="61" priority="37" operator="lessThan">
      <formula>0</formula>
    </cfRule>
    <cfRule type="cellIs" dxfId="60" priority="38" operator="equal">
      <formula>0</formula>
    </cfRule>
    <cfRule type="cellIs" dxfId="59" priority="39" operator="greaterThan">
      <formula>0</formula>
    </cfRule>
  </conditionalFormatting>
  <conditionalFormatting sqref="B253">
    <cfRule type="cellIs" dxfId="58" priority="34" operator="lessThan">
      <formula>0</formula>
    </cfRule>
    <cfRule type="cellIs" dxfId="57" priority="35" operator="equal">
      <formula>0</formula>
    </cfRule>
    <cfRule type="cellIs" dxfId="56" priority="36" operator="greaterThan">
      <formula>0</formula>
    </cfRule>
  </conditionalFormatting>
  <conditionalFormatting sqref="B267">
    <cfRule type="cellIs" dxfId="55" priority="31" operator="lessThan">
      <formula>0</formula>
    </cfRule>
    <cfRule type="cellIs" dxfId="54" priority="32" operator="equal">
      <formula>0</formula>
    </cfRule>
    <cfRule type="cellIs" dxfId="53" priority="33" operator="greaterThan">
      <formula>0</formula>
    </cfRule>
  </conditionalFormatting>
  <conditionalFormatting sqref="B282">
    <cfRule type="cellIs" dxfId="52" priority="28" operator="lessThan">
      <formula>0</formula>
    </cfRule>
    <cfRule type="cellIs" dxfId="51" priority="29" operator="equal">
      <formula>0</formula>
    </cfRule>
    <cfRule type="cellIs" dxfId="50" priority="30" operator="greaterThan">
      <formula>0</formula>
    </cfRule>
  </conditionalFormatting>
  <conditionalFormatting sqref="B296">
    <cfRule type="cellIs" dxfId="49" priority="25" operator="lessThan">
      <formula>0</formula>
    </cfRule>
    <cfRule type="cellIs" dxfId="48" priority="26" operator="equal">
      <formula>0</formula>
    </cfRule>
    <cfRule type="cellIs" dxfId="47" priority="27" operator="greaterThan">
      <formula>0</formula>
    </cfRule>
  </conditionalFormatting>
  <conditionalFormatting sqref="B311">
    <cfRule type="cellIs" dxfId="46" priority="22" operator="lessThan">
      <formula>0</formula>
    </cfRule>
    <cfRule type="cellIs" dxfId="45" priority="23" operator="equal">
      <formula>0</formula>
    </cfRule>
    <cfRule type="cellIs" dxfId="44" priority="24" operator="greaterThan">
      <formula>0</formula>
    </cfRule>
  </conditionalFormatting>
  <conditionalFormatting sqref="B325">
    <cfRule type="cellIs" dxfId="43" priority="19" operator="lessThan">
      <formula>0</formula>
    </cfRule>
    <cfRule type="cellIs" dxfId="42" priority="20" operator="equal">
      <formula>0</formula>
    </cfRule>
    <cfRule type="cellIs" dxfId="41" priority="21" operator="greaterThan">
      <formula>0</formula>
    </cfRule>
  </conditionalFormatting>
  <conditionalFormatting sqref="B339">
    <cfRule type="cellIs" dxfId="40" priority="16" operator="lessThan">
      <formula>0</formula>
    </cfRule>
    <cfRule type="cellIs" dxfId="39" priority="17" operator="equal">
      <formula>0</formula>
    </cfRule>
    <cfRule type="cellIs" dxfId="38" priority="18" operator="greaterThan">
      <formula>0</formula>
    </cfRule>
  </conditionalFormatting>
  <conditionalFormatting sqref="B353">
    <cfRule type="cellIs" dxfId="37" priority="13" operator="lessThan">
      <formula>0</formula>
    </cfRule>
    <cfRule type="cellIs" dxfId="36" priority="14" operator="equal">
      <formula>0</formula>
    </cfRule>
    <cfRule type="cellIs" dxfId="35" priority="15" operator="greaterThan">
      <formula>0</formula>
    </cfRule>
  </conditionalFormatting>
  <conditionalFormatting sqref="B367">
    <cfRule type="cellIs" dxfId="34" priority="10" operator="lessThan">
      <formula>0</formula>
    </cfRule>
    <cfRule type="cellIs" dxfId="33" priority="11" operator="equal">
      <formula>0</formula>
    </cfRule>
    <cfRule type="cellIs" dxfId="32" priority="12" operator="greaterThan">
      <formula>0</formula>
    </cfRule>
  </conditionalFormatting>
  <conditionalFormatting sqref="B381">
    <cfRule type="cellIs" dxfId="31" priority="7" operator="lessThan">
      <formula>0</formula>
    </cfRule>
    <cfRule type="cellIs" dxfId="30" priority="8" operator="equal">
      <formula>0</formula>
    </cfRule>
    <cfRule type="cellIs" dxfId="29" priority="9" operator="greaterThan">
      <formula>0</formula>
    </cfRule>
  </conditionalFormatting>
  <conditionalFormatting sqref="B397">
    <cfRule type="cellIs" dxfId="28" priority="4" operator="lessThan">
      <formula>0</formula>
    </cfRule>
    <cfRule type="cellIs" dxfId="27" priority="5" operator="equal">
      <formula>0</formula>
    </cfRule>
    <cfRule type="cellIs" dxfId="26" priority="6" operator="greaterThan">
      <formula>0</formula>
    </cfRule>
  </conditionalFormatting>
  <conditionalFormatting sqref="B411">
    <cfRule type="cellIs" dxfId="25" priority="1" operator="lessThan">
      <formula>0</formula>
    </cfRule>
    <cfRule type="cellIs" dxfId="24" priority="2" operator="equal">
      <formula>0</formula>
    </cfRule>
    <cfRule type="cellIs" dxfId="23" priority="3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82A529-EA3A-42D3-B4EE-D8B047179150}">
          <x14:formula1>
            <xm:f>'Cust Data'!$C$3:$C$133</xm:f>
          </x14:formula1>
          <xm:sqref>B8:F8 B359:F359 B345:F345 B331:F331 B317:F317 B373:F373 B389:F389 B403:F403</xm:sqref>
        </x14:dataValidation>
        <x14:dataValidation type="list" allowBlank="1" showInputMessage="1" showErrorMessage="1" xr:uid="{6CDA552D-4BBA-4524-BE62-6D664EC29435}">
          <x14:formula1>
            <xm:f>'Cust Data'!$C$3:$C$145</xm:f>
          </x14:formula1>
          <xm:sqref>B259:F259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AD09-9E29-49EB-8926-F5C5CF242C83}">
  <sheetPr codeName="Sheet5"/>
  <dimension ref="B2:E133"/>
  <sheetViews>
    <sheetView workbookViewId="0">
      <selection activeCell="C12" sqref="C12"/>
    </sheetView>
  </sheetViews>
  <sheetFormatPr defaultRowHeight="15" x14ac:dyDescent="0.25"/>
  <cols>
    <col min="2" max="2" width="4" bestFit="1" customWidth="1"/>
    <col min="3" max="3" width="42.42578125" bestFit="1" customWidth="1"/>
    <col min="4" max="4" width="12.42578125" bestFit="1" customWidth="1"/>
    <col min="5" max="5" width="14.5703125" bestFit="1" customWidth="1"/>
  </cols>
  <sheetData>
    <row r="2" spans="2:5" x14ac:dyDescent="0.25">
      <c r="B2" s="16" t="s">
        <v>31</v>
      </c>
      <c r="C2" s="16" t="s">
        <v>162</v>
      </c>
      <c r="D2" s="16" t="s">
        <v>163</v>
      </c>
      <c r="E2" s="16" t="s">
        <v>164</v>
      </c>
    </row>
    <row r="3" spans="2:5" x14ac:dyDescent="0.25">
      <c r="B3" s="12">
        <v>1</v>
      </c>
      <c r="C3" s="10" t="s">
        <v>165</v>
      </c>
      <c r="D3" s="10" t="s">
        <v>112</v>
      </c>
      <c r="E3" s="14">
        <v>2000005</v>
      </c>
    </row>
    <row r="4" spans="2:5" x14ac:dyDescent="0.25">
      <c r="B4" s="13">
        <v>2</v>
      </c>
      <c r="C4" s="11" t="s">
        <v>166</v>
      </c>
      <c r="D4" s="11" t="s">
        <v>52</v>
      </c>
      <c r="E4" s="15">
        <v>2000584</v>
      </c>
    </row>
    <row r="5" spans="2:5" x14ac:dyDescent="0.25">
      <c r="B5" s="12">
        <v>3</v>
      </c>
      <c r="C5" s="10" t="s">
        <v>167</v>
      </c>
      <c r="D5" s="10" t="s">
        <v>9</v>
      </c>
      <c r="E5" s="14">
        <v>2000028</v>
      </c>
    </row>
    <row r="6" spans="2:5" x14ac:dyDescent="0.25">
      <c r="B6" s="13">
        <v>4</v>
      </c>
      <c r="C6" s="11" t="s">
        <v>168</v>
      </c>
      <c r="D6" s="11" t="s">
        <v>169</v>
      </c>
      <c r="E6" s="15">
        <v>2000000</v>
      </c>
    </row>
    <row r="7" spans="2:5" x14ac:dyDescent="0.25">
      <c r="B7" s="12">
        <v>5</v>
      </c>
      <c r="C7" s="10" t="s">
        <v>170</v>
      </c>
      <c r="D7" s="10" t="s">
        <v>169</v>
      </c>
      <c r="E7" s="14">
        <v>2000004</v>
      </c>
    </row>
    <row r="8" spans="2:5" x14ac:dyDescent="0.25">
      <c r="B8" s="13">
        <v>6</v>
      </c>
      <c r="C8" s="11" t="s">
        <v>171</v>
      </c>
      <c r="D8" s="11" t="s">
        <v>172</v>
      </c>
      <c r="E8" s="15">
        <v>3555557</v>
      </c>
    </row>
    <row r="9" spans="2:5" x14ac:dyDescent="0.25">
      <c r="B9" s="12">
        <v>7</v>
      </c>
      <c r="C9" s="10" t="s">
        <v>173</v>
      </c>
      <c r="D9" s="10" t="s">
        <v>174</v>
      </c>
      <c r="E9" s="14">
        <v>2002042</v>
      </c>
    </row>
    <row r="10" spans="2:5" x14ac:dyDescent="0.25">
      <c r="B10" s="13">
        <v>8</v>
      </c>
      <c r="C10" s="11" t="s">
        <v>175</v>
      </c>
      <c r="D10" s="11" t="s">
        <v>176</v>
      </c>
      <c r="E10" s="15">
        <v>2000009</v>
      </c>
    </row>
    <row r="11" spans="2:5" x14ac:dyDescent="0.25">
      <c r="B11" s="12">
        <v>9</v>
      </c>
      <c r="C11" s="10" t="s">
        <v>177</v>
      </c>
      <c r="D11" s="10" t="s">
        <v>176</v>
      </c>
      <c r="E11" s="14">
        <v>2000002</v>
      </c>
    </row>
    <row r="12" spans="2:5" x14ac:dyDescent="0.25">
      <c r="B12" s="13">
        <v>10</v>
      </c>
      <c r="C12" s="11" t="s">
        <v>178</v>
      </c>
      <c r="D12" s="11" t="s">
        <v>179</v>
      </c>
      <c r="E12" s="15">
        <v>2001246</v>
      </c>
    </row>
    <row r="13" spans="2:5" x14ac:dyDescent="0.25">
      <c r="B13" s="12">
        <v>11</v>
      </c>
      <c r="C13" s="10" t="s">
        <v>180</v>
      </c>
      <c r="D13" s="10" t="s">
        <v>9</v>
      </c>
      <c r="E13" s="14">
        <v>2001215</v>
      </c>
    </row>
    <row r="14" spans="2:5" x14ac:dyDescent="0.25">
      <c r="B14" s="13">
        <v>12</v>
      </c>
      <c r="C14" s="11" t="s">
        <v>181</v>
      </c>
      <c r="D14" s="11" t="s">
        <v>176</v>
      </c>
      <c r="E14" s="15">
        <v>2001307</v>
      </c>
    </row>
    <row r="15" spans="2:5" x14ac:dyDescent="0.25">
      <c r="B15" s="12">
        <v>13</v>
      </c>
      <c r="C15" s="10" t="s">
        <v>182</v>
      </c>
      <c r="D15" s="10" t="s">
        <v>169</v>
      </c>
      <c r="E15" s="14">
        <v>2001251</v>
      </c>
    </row>
    <row r="16" spans="2:5" x14ac:dyDescent="0.25">
      <c r="B16" s="13">
        <v>14</v>
      </c>
      <c r="C16" s="11" t="s">
        <v>183</v>
      </c>
      <c r="D16" s="11" t="s">
        <v>112</v>
      </c>
      <c r="E16" s="15">
        <v>2001241</v>
      </c>
    </row>
    <row r="17" spans="2:5" x14ac:dyDescent="0.25">
      <c r="B17" s="12">
        <v>15</v>
      </c>
      <c r="C17" s="10" t="s">
        <v>184</v>
      </c>
      <c r="D17" s="10" t="s">
        <v>179</v>
      </c>
      <c r="E17" s="14">
        <v>2001256</v>
      </c>
    </row>
    <row r="18" spans="2:5" x14ac:dyDescent="0.25">
      <c r="B18" s="13">
        <v>16</v>
      </c>
      <c r="C18" s="11" t="s">
        <v>185</v>
      </c>
      <c r="D18" s="11" t="s">
        <v>52</v>
      </c>
      <c r="E18" s="15">
        <v>3000119</v>
      </c>
    </row>
    <row r="19" spans="2:5" x14ac:dyDescent="0.25">
      <c r="B19" s="12">
        <v>17</v>
      </c>
      <c r="C19" s="10" t="s">
        <v>186</v>
      </c>
      <c r="D19" s="10" t="s">
        <v>169</v>
      </c>
      <c r="E19" s="14">
        <v>4555556</v>
      </c>
    </row>
    <row r="20" spans="2:5" x14ac:dyDescent="0.25">
      <c r="B20" s="13">
        <v>18</v>
      </c>
      <c r="C20" s="11" t="s">
        <v>7</v>
      </c>
      <c r="D20" s="11" t="s">
        <v>9</v>
      </c>
      <c r="E20" s="15">
        <v>2000006</v>
      </c>
    </row>
    <row r="21" spans="2:5" x14ac:dyDescent="0.25">
      <c r="B21" s="12">
        <v>19</v>
      </c>
      <c r="C21" s="10" t="s">
        <v>51</v>
      </c>
      <c r="D21" s="10" t="s">
        <v>52</v>
      </c>
      <c r="E21" s="14">
        <v>2000018</v>
      </c>
    </row>
    <row r="22" spans="2:5" x14ac:dyDescent="0.25">
      <c r="B22" s="13">
        <v>20</v>
      </c>
      <c r="C22" s="11" t="s">
        <v>187</v>
      </c>
      <c r="D22" s="11" t="s">
        <v>188</v>
      </c>
      <c r="E22" s="15">
        <v>2001284</v>
      </c>
    </row>
    <row r="23" spans="2:5" x14ac:dyDescent="0.25">
      <c r="B23" s="12">
        <v>21</v>
      </c>
      <c r="C23" s="10" t="s">
        <v>189</v>
      </c>
      <c r="D23" s="10" t="s">
        <v>52</v>
      </c>
      <c r="E23" s="14">
        <v>2001208</v>
      </c>
    </row>
    <row r="24" spans="2:5" x14ac:dyDescent="0.25">
      <c r="B24" s="13">
        <v>22</v>
      </c>
      <c r="C24" s="11" t="s">
        <v>190</v>
      </c>
      <c r="D24" s="11" t="s">
        <v>169</v>
      </c>
      <c r="E24" s="15">
        <v>4555558</v>
      </c>
    </row>
    <row r="25" spans="2:5" x14ac:dyDescent="0.25">
      <c r="B25" s="12">
        <v>23</v>
      </c>
      <c r="C25" s="10" t="s">
        <v>191</v>
      </c>
      <c r="D25" s="10" t="s">
        <v>176</v>
      </c>
      <c r="E25" s="14">
        <v>2000025</v>
      </c>
    </row>
    <row r="26" spans="2:5" x14ac:dyDescent="0.25">
      <c r="B26" s="13">
        <v>24</v>
      </c>
      <c r="C26" s="11" t="s">
        <v>192</v>
      </c>
      <c r="D26" s="11" t="s">
        <v>9</v>
      </c>
      <c r="E26" s="15">
        <v>2001225</v>
      </c>
    </row>
    <row r="27" spans="2:5" x14ac:dyDescent="0.25">
      <c r="B27" s="12">
        <v>25</v>
      </c>
      <c r="C27" s="10" t="s">
        <v>193</v>
      </c>
      <c r="D27" s="10" t="s">
        <v>172</v>
      </c>
      <c r="E27" s="14">
        <v>2000868</v>
      </c>
    </row>
    <row r="28" spans="2:5" x14ac:dyDescent="0.25">
      <c r="B28" s="13">
        <v>26</v>
      </c>
      <c r="C28" s="11" t="s">
        <v>194</v>
      </c>
      <c r="D28" s="11" t="s">
        <v>52</v>
      </c>
      <c r="E28" s="15">
        <v>3000118</v>
      </c>
    </row>
    <row r="29" spans="2:5" x14ac:dyDescent="0.25">
      <c r="B29" s="12">
        <v>27</v>
      </c>
      <c r="C29" s="10" t="s">
        <v>195</v>
      </c>
      <c r="D29" s="10" t="s">
        <v>52</v>
      </c>
      <c r="E29" s="14">
        <v>2001349</v>
      </c>
    </row>
    <row r="30" spans="2:5" x14ac:dyDescent="0.25">
      <c r="B30" s="13">
        <v>28</v>
      </c>
      <c r="C30" s="11" t="s">
        <v>196</v>
      </c>
      <c r="D30" s="11" t="s">
        <v>52</v>
      </c>
      <c r="E30" s="15">
        <v>2001027</v>
      </c>
    </row>
    <row r="31" spans="2:5" x14ac:dyDescent="0.25">
      <c r="B31" s="12">
        <v>29</v>
      </c>
      <c r="C31" s="10" t="s">
        <v>197</v>
      </c>
      <c r="D31" s="10" t="s">
        <v>198</v>
      </c>
      <c r="E31" s="14">
        <v>2000902</v>
      </c>
    </row>
    <row r="32" spans="2:5" x14ac:dyDescent="0.25">
      <c r="B32" s="13">
        <v>30</v>
      </c>
      <c r="C32" s="11" t="s">
        <v>199</v>
      </c>
      <c r="D32" s="11" t="s">
        <v>52</v>
      </c>
      <c r="E32" s="15">
        <v>2001350</v>
      </c>
    </row>
    <row r="33" spans="2:5" x14ac:dyDescent="0.25">
      <c r="B33" s="12">
        <v>31</v>
      </c>
      <c r="C33" s="10" t="s">
        <v>200</v>
      </c>
      <c r="D33" s="10" t="s">
        <v>176</v>
      </c>
      <c r="E33" s="14">
        <v>2000933</v>
      </c>
    </row>
    <row r="34" spans="2:5" x14ac:dyDescent="0.25">
      <c r="B34" s="13">
        <v>32</v>
      </c>
      <c r="C34" s="11" t="s">
        <v>201</v>
      </c>
      <c r="D34" s="11" t="s">
        <v>9</v>
      </c>
      <c r="E34" s="15">
        <v>2002009</v>
      </c>
    </row>
    <row r="35" spans="2:5" x14ac:dyDescent="0.25">
      <c r="B35" s="12">
        <v>33</v>
      </c>
      <c r="C35" s="10" t="s">
        <v>72</v>
      </c>
      <c r="D35" s="10" t="s">
        <v>73</v>
      </c>
      <c r="E35" s="14">
        <v>2000022</v>
      </c>
    </row>
    <row r="36" spans="2:5" x14ac:dyDescent="0.25">
      <c r="B36" s="13">
        <v>34</v>
      </c>
      <c r="C36" s="11" t="s">
        <v>202</v>
      </c>
      <c r="D36" s="11" t="s">
        <v>203</v>
      </c>
      <c r="E36" s="15">
        <v>2000958</v>
      </c>
    </row>
    <row r="37" spans="2:5" x14ac:dyDescent="0.25">
      <c r="B37" s="12">
        <v>35</v>
      </c>
      <c r="C37" s="10" t="s">
        <v>204</v>
      </c>
      <c r="D37" s="10" t="s">
        <v>203</v>
      </c>
      <c r="E37" s="14">
        <v>2000556</v>
      </c>
    </row>
    <row r="38" spans="2:5" x14ac:dyDescent="0.25">
      <c r="B38" s="13">
        <v>36</v>
      </c>
      <c r="C38" s="11" t="s">
        <v>205</v>
      </c>
      <c r="D38" s="11" t="s">
        <v>203</v>
      </c>
      <c r="E38" s="15">
        <v>2002209</v>
      </c>
    </row>
    <row r="39" spans="2:5" x14ac:dyDescent="0.25">
      <c r="B39" s="12">
        <v>37</v>
      </c>
      <c r="C39" s="10" t="s">
        <v>206</v>
      </c>
      <c r="D39" s="10" t="s">
        <v>126</v>
      </c>
      <c r="E39" s="14">
        <v>2001739</v>
      </c>
    </row>
    <row r="40" spans="2:5" x14ac:dyDescent="0.25">
      <c r="B40" s="13">
        <v>38</v>
      </c>
      <c r="C40" s="11" t="s">
        <v>207</v>
      </c>
      <c r="D40" s="11" t="s">
        <v>208</v>
      </c>
      <c r="E40" s="15">
        <v>2000583</v>
      </c>
    </row>
    <row r="41" spans="2:5" x14ac:dyDescent="0.25">
      <c r="B41" s="12">
        <v>39</v>
      </c>
      <c r="C41" s="10" t="s">
        <v>209</v>
      </c>
      <c r="D41" s="10" t="s">
        <v>84</v>
      </c>
      <c r="E41" s="14">
        <v>2001169</v>
      </c>
    </row>
    <row r="42" spans="2:5" x14ac:dyDescent="0.25">
      <c r="B42" s="13">
        <v>40</v>
      </c>
      <c r="C42" s="11" t="s">
        <v>210</v>
      </c>
      <c r="D42" s="11" t="s">
        <v>84</v>
      </c>
      <c r="E42" s="15">
        <v>2000017</v>
      </c>
    </row>
    <row r="43" spans="2:5" x14ac:dyDescent="0.25">
      <c r="B43" s="12">
        <v>41</v>
      </c>
      <c r="C43" s="10" t="s">
        <v>211</v>
      </c>
      <c r="D43" s="10" t="s">
        <v>84</v>
      </c>
      <c r="E43" s="14">
        <v>2001482</v>
      </c>
    </row>
    <row r="44" spans="2:5" x14ac:dyDescent="0.25">
      <c r="B44" s="13">
        <v>42</v>
      </c>
      <c r="C44" s="11" t="s">
        <v>212</v>
      </c>
      <c r="D44" s="11" t="s">
        <v>84</v>
      </c>
      <c r="E44" s="15">
        <v>2000982</v>
      </c>
    </row>
    <row r="45" spans="2:5" x14ac:dyDescent="0.25">
      <c r="B45" s="12">
        <v>43</v>
      </c>
      <c r="C45" s="10" t="s">
        <v>125</v>
      </c>
      <c r="D45" s="10" t="s">
        <v>126</v>
      </c>
      <c r="E45" s="14">
        <v>2001514</v>
      </c>
    </row>
    <row r="46" spans="2:5" x14ac:dyDescent="0.25">
      <c r="B46" s="13">
        <v>44</v>
      </c>
      <c r="C46" s="11" t="s">
        <v>213</v>
      </c>
      <c r="D46" s="11" t="s">
        <v>203</v>
      </c>
      <c r="E46" s="15">
        <v>1012189</v>
      </c>
    </row>
    <row r="47" spans="2:5" x14ac:dyDescent="0.25">
      <c r="B47" s="12">
        <v>45</v>
      </c>
      <c r="C47" s="10" t="s">
        <v>214</v>
      </c>
      <c r="D47" s="10" t="s">
        <v>215</v>
      </c>
      <c r="E47" s="14">
        <v>2000948</v>
      </c>
    </row>
    <row r="48" spans="2:5" x14ac:dyDescent="0.25">
      <c r="B48" s="13">
        <v>46</v>
      </c>
      <c r="C48" s="11" t="s">
        <v>216</v>
      </c>
      <c r="D48" s="11" t="s">
        <v>208</v>
      </c>
      <c r="E48" s="15">
        <v>2000691</v>
      </c>
    </row>
    <row r="49" spans="2:5" x14ac:dyDescent="0.25">
      <c r="B49" s="12">
        <v>47</v>
      </c>
      <c r="C49" s="10" t="s">
        <v>92</v>
      </c>
      <c r="D49" s="10" t="s">
        <v>84</v>
      </c>
      <c r="E49" s="14">
        <v>2001332</v>
      </c>
    </row>
    <row r="50" spans="2:5" x14ac:dyDescent="0.25">
      <c r="B50" s="13">
        <v>48</v>
      </c>
      <c r="C50" s="11" t="s">
        <v>83</v>
      </c>
      <c r="D50" s="11" t="s">
        <v>84</v>
      </c>
      <c r="E50" s="15">
        <v>2001209</v>
      </c>
    </row>
    <row r="51" spans="2:5" x14ac:dyDescent="0.25">
      <c r="B51" s="12">
        <v>49</v>
      </c>
      <c r="C51" s="10" t="s">
        <v>217</v>
      </c>
      <c r="D51" s="10" t="s">
        <v>208</v>
      </c>
      <c r="E51" s="14">
        <v>2001314</v>
      </c>
    </row>
    <row r="52" spans="2:5" x14ac:dyDescent="0.25">
      <c r="B52" s="13">
        <v>50</v>
      </c>
      <c r="C52" s="11" t="s">
        <v>218</v>
      </c>
      <c r="D52" s="11" t="s">
        <v>84</v>
      </c>
      <c r="E52" s="15">
        <v>2001336</v>
      </c>
    </row>
    <row r="53" spans="2:5" x14ac:dyDescent="0.25">
      <c r="B53" s="12">
        <v>51</v>
      </c>
      <c r="C53" s="10" t="s">
        <v>219</v>
      </c>
      <c r="D53" s="10" t="s">
        <v>203</v>
      </c>
      <c r="E53" s="14">
        <v>2000883</v>
      </c>
    </row>
    <row r="54" spans="2:5" x14ac:dyDescent="0.25">
      <c r="B54" s="13">
        <v>52</v>
      </c>
      <c r="C54" s="11" t="s">
        <v>60</v>
      </c>
      <c r="D54" s="11" t="s">
        <v>61</v>
      </c>
      <c r="E54" s="15">
        <v>2000012</v>
      </c>
    </row>
    <row r="55" spans="2:5" x14ac:dyDescent="0.25">
      <c r="B55" s="12">
        <v>53</v>
      </c>
      <c r="C55" s="10" t="s">
        <v>220</v>
      </c>
      <c r="D55" s="10" t="s">
        <v>84</v>
      </c>
      <c r="E55" s="14">
        <v>2000659</v>
      </c>
    </row>
    <row r="56" spans="2:5" x14ac:dyDescent="0.25">
      <c r="B56" s="13">
        <v>54</v>
      </c>
      <c r="C56" s="11" t="s">
        <v>221</v>
      </c>
      <c r="D56" s="11" t="s">
        <v>222</v>
      </c>
      <c r="E56" s="15">
        <v>2000728</v>
      </c>
    </row>
    <row r="57" spans="2:5" x14ac:dyDescent="0.25">
      <c r="B57" s="12">
        <v>55</v>
      </c>
      <c r="C57" s="10" t="s">
        <v>223</v>
      </c>
      <c r="D57" s="10" t="s">
        <v>208</v>
      </c>
      <c r="E57" s="14">
        <v>3555572</v>
      </c>
    </row>
    <row r="58" spans="2:5" x14ac:dyDescent="0.25">
      <c r="B58" s="13">
        <v>56</v>
      </c>
      <c r="C58" s="11" t="s">
        <v>224</v>
      </c>
      <c r="D58" s="11" t="s">
        <v>222</v>
      </c>
      <c r="E58" s="15">
        <v>2000855</v>
      </c>
    </row>
    <row r="59" spans="2:5" x14ac:dyDescent="0.25">
      <c r="B59" s="12">
        <v>57</v>
      </c>
      <c r="C59" s="10" t="s">
        <v>119</v>
      </c>
      <c r="D59" s="10" t="s">
        <v>84</v>
      </c>
      <c r="E59" s="14">
        <v>2001210</v>
      </c>
    </row>
    <row r="60" spans="2:5" x14ac:dyDescent="0.25">
      <c r="B60" s="13">
        <v>58</v>
      </c>
      <c r="C60" s="11" t="s">
        <v>225</v>
      </c>
      <c r="D60" s="11" t="s">
        <v>222</v>
      </c>
      <c r="E60" s="15">
        <v>2002109</v>
      </c>
    </row>
    <row r="61" spans="2:5" x14ac:dyDescent="0.25">
      <c r="B61" s="12">
        <v>59</v>
      </c>
      <c r="C61" s="10" t="s">
        <v>226</v>
      </c>
      <c r="D61" s="10" t="s">
        <v>112</v>
      </c>
      <c r="E61" s="14">
        <v>2001919</v>
      </c>
    </row>
    <row r="62" spans="2:5" x14ac:dyDescent="0.25">
      <c r="B62" s="13">
        <v>60</v>
      </c>
      <c r="C62" s="11" t="s">
        <v>227</v>
      </c>
      <c r="D62" s="11" t="s">
        <v>126</v>
      </c>
      <c r="E62" s="15">
        <v>2002039</v>
      </c>
    </row>
    <row r="63" spans="2:5" x14ac:dyDescent="0.25">
      <c r="B63" s="12">
        <v>61</v>
      </c>
      <c r="C63" s="10" t="s">
        <v>228</v>
      </c>
      <c r="D63" s="10" t="s">
        <v>203</v>
      </c>
      <c r="E63" s="14">
        <v>2000426</v>
      </c>
    </row>
    <row r="64" spans="2:5" x14ac:dyDescent="0.25">
      <c r="B64" s="13">
        <v>62</v>
      </c>
      <c r="C64" s="11" t="s">
        <v>229</v>
      </c>
      <c r="D64" s="11" t="s">
        <v>203</v>
      </c>
      <c r="E64" s="15">
        <v>2000035</v>
      </c>
    </row>
    <row r="65" spans="2:5" x14ac:dyDescent="0.25">
      <c r="B65" s="12">
        <v>63</v>
      </c>
      <c r="C65" s="10" t="s">
        <v>230</v>
      </c>
      <c r="D65" s="10" t="s">
        <v>203</v>
      </c>
      <c r="E65" s="14">
        <v>2000024</v>
      </c>
    </row>
    <row r="66" spans="2:5" x14ac:dyDescent="0.25">
      <c r="B66" s="13">
        <v>64</v>
      </c>
      <c r="C66" s="11" t="s">
        <v>231</v>
      </c>
      <c r="D66" s="11" t="s">
        <v>232</v>
      </c>
      <c r="E66" s="15">
        <v>2001150</v>
      </c>
    </row>
    <row r="67" spans="2:5" x14ac:dyDescent="0.25">
      <c r="B67" s="12">
        <v>65</v>
      </c>
      <c r="C67" s="10" t="s">
        <v>233</v>
      </c>
      <c r="D67" s="10" t="s">
        <v>52</v>
      </c>
      <c r="E67" s="14">
        <v>2000425</v>
      </c>
    </row>
    <row r="68" spans="2:5" x14ac:dyDescent="0.25">
      <c r="B68" s="13">
        <v>66</v>
      </c>
      <c r="C68" s="11" t="s">
        <v>230</v>
      </c>
      <c r="D68" s="11" t="s">
        <v>203</v>
      </c>
      <c r="E68" s="15">
        <v>3555558</v>
      </c>
    </row>
    <row r="69" spans="2:5" x14ac:dyDescent="0.25">
      <c r="B69" s="12">
        <v>67</v>
      </c>
      <c r="C69" s="10" t="s">
        <v>234</v>
      </c>
      <c r="D69" s="10" t="s">
        <v>52</v>
      </c>
      <c r="E69" s="14">
        <v>3000130</v>
      </c>
    </row>
    <row r="70" spans="2:5" x14ac:dyDescent="0.25">
      <c r="B70" s="13">
        <v>68</v>
      </c>
      <c r="C70" s="11" t="s">
        <v>235</v>
      </c>
      <c r="D70" s="11" t="s">
        <v>61</v>
      </c>
      <c r="E70" s="15">
        <v>2000945</v>
      </c>
    </row>
    <row r="71" spans="2:5" x14ac:dyDescent="0.25">
      <c r="B71" s="12">
        <v>69</v>
      </c>
      <c r="C71" s="10" t="s">
        <v>236</v>
      </c>
      <c r="D71" s="10" t="s">
        <v>179</v>
      </c>
      <c r="E71" s="14">
        <v>2000164</v>
      </c>
    </row>
    <row r="72" spans="2:5" x14ac:dyDescent="0.25">
      <c r="B72" s="13">
        <v>70</v>
      </c>
      <c r="C72" s="11" t="s">
        <v>237</v>
      </c>
      <c r="D72" s="11" t="s">
        <v>112</v>
      </c>
      <c r="E72" s="15">
        <v>3000229</v>
      </c>
    </row>
    <row r="73" spans="2:5" x14ac:dyDescent="0.25">
      <c r="B73" s="12">
        <v>71</v>
      </c>
      <c r="C73" s="10" t="s">
        <v>238</v>
      </c>
      <c r="D73" s="10" t="s">
        <v>112</v>
      </c>
      <c r="E73" s="14">
        <v>3000228</v>
      </c>
    </row>
    <row r="74" spans="2:5" x14ac:dyDescent="0.25">
      <c r="B74" s="13">
        <v>72</v>
      </c>
      <c r="C74" s="11" t="s">
        <v>239</v>
      </c>
      <c r="D74" s="11" t="s">
        <v>179</v>
      </c>
      <c r="E74" s="15">
        <v>2000001</v>
      </c>
    </row>
    <row r="75" spans="2:5" x14ac:dyDescent="0.25">
      <c r="B75" s="12">
        <v>73</v>
      </c>
      <c r="C75" s="10" t="s">
        <v>240</v>
      </c>
      <c r="D75" s="10" t="s">
        <v>203</v>
      </c>
      <c r="E75" s="14">
        <v>2000646</v>
      </c>
    </row>
    <row r="76" spans="2:5" x14ac:dyDescent="0.25">
      <c r="B76" s="13">
        <v>74</v>
      </c>
      <c r="C76" s="11" t="s">
        <v>241</v>
      </c>
      <c r="D76" s="11" t="s">
        <v>208</v>
      </c>
      <c r="E76" s="15">
        <v>2000351</v>
      </c>
    </row>
    <row r="77" spans="2:5" x14ac:dyDescent="0.25">
      <c r="B77" s="12">
        <v>75</v>
      </c>
      <c r="C77" s="10" t="s">
        <v>242</v>
      </c>
      <c r="D77" s="10" t="s">
        <v>203</v>
      </c>
      <c r="E77" s="14">
        <v>2000037</v>
      </c>
    </row>
    <row r="78" spans="2:5" x14ac:dyDescent="0.25">
      <c r="B78" s="13">
        <v>76</v>
      </c>
      <c r="C78" s="11" t="s">
        <v>243</v>
      </c>
      <c r="D78" s="11" t="s">
        <v>203</v>
      </c>
      <c r="E78" s="15">
        <v>2000039</v>
      </c>
    </row>
    <row r="79" spans="2:5" x14ac:dyDescent="0.25">
      <c r="B79" s="12">
        <v>77</v>
      </c>
      <c r="C79" s="10" t="s">
        <v>244</v>
      </c>
      <c r="D79" s="10" t="s">
        <v>203</v>
      </c>
      <c r="E79" s="14">
        <v>2000208</v>
      </c>
    </row>
    <row r="80" spans="2:5" x14ac:dyDescent="0.25">
      <c r="B80" s="13">
        <v>78</v>
      </c>
      <c r="C80" s="11" t="s">
        <v>245</v>
      </c>
      <c r="D80" s="11" t="s">
        <v>172</v>
      </c>
      <c r="E80" s="15">
        <v>3000120</v>
      </c>
    </row>
    <row r="81" spans="2:5" x14ac:dyDescent="0.25">
      <c r="B81" s="12">
        <v>79</v>
      </c>
      <c r="C81" s="10" t="s">
        <v>246</v>
      </c>
      <c r="D81" s="10" t="s">
        <v>203</v>
      </c>
      <c r="E81" s="14">
        <v>2000197</v>
      </c>
    </row>
    <row r="82" spans="2:5" x14ac:dyDescent="0.25">
      <c r="B82" s="13">
        <v>80</v>
      </c>
      <c r="C82" s="11" t="s">
        <v>247</v>
      </c>
      <c r="D82" s="11" t="s">
        <v>84</v>
      </c>
      <c r="E82" s="15">
        <v>2000165</v>
      </c>
    </row>
    <row r="83" spans="2:5" x14ac:dyDescent="0.25">
      <c r="B83" s="12">
        <v>81</v>
      </c>
      <c r="C83" s="10" t="s">
        <v>248</v>
      </c>
      <c r="D83" s="10" t="s">
        <v>203</v>
      </c>
      <c r="E83" s="14">
        <v>2000023</v>
      </c>
    </row>
    <row r="84" spans="2:5" x14ac:dyDescent="0.25">
      <c r="B84" s="13">
        <v>82</v>
      </c>
      <c r="C84" s="11" t="s">
        <v>249</v>
      </c>
      <c r="D84" s="11" t="s">
        <v>112</v>
      </c>
      <c r="E84" s="15">
        <v>2000030</v>
      </c>
    </row>
    <row r="85" spans="2:5" x14ac:dyDescent="0.25">
      <c r="B85" s="12">
        <v>83</v>
      </c>
      <c r="C85" s="10" t="s">
        <v>250</v>
      </c>
      <c r="D85" s="10" t="s">
        <v>203</v>
      </c>
      <c r="E85" s="14">
        <v>2000486</v>
      </c>
    </row>
    <row r="86" spans="2:5" x14ac:dyDescent="0.25">
      <c r="B86" s="13">
        <v>84</v>
      </c>
      <c r="C86" s="11" t="s">
        <v>251</v>
      </c>
      <c r="D86" s="11" t="s">
        <v>203</v>
      </c>
      <c r="E86" s="15">
        <v>2000815</v>
      </c>
    </row>
    <row r="87" spans="2:5" x14ac:dyDescent="0.25">
      <c r="B87" s="12">
        <v>85</v>
      </c>
      <c r="C87" s="10" t="s">
        <v>252</v>
      </c>
      <c r="D87" s="10" t="s">
        <v>203</v>
      </c>
      <c r="E87" s="14">
        <v>2000036</v>
      </c>
    </row>
    <row r="88" spans="2:5" x14ac:dyDescent="0.25">
      <c r="B88" s="13">
        <v>86</v>
      </c>
      <c r="C88" s="11" t="s">
        <v>253</v>
      </c>
      <c r="D88" s="11" t="s">
        <v>208</v>
      </c>
      <c r="E88" s="15">
        <v>2000011</v>
      </c>
    </row>
    <row r="89" spans="2:5" x14ac:dyDescent="0.25">
      <c r="B89" s="12">
        <v>87</v>
      </c>
      <c r="C89" s="10" t="s">
        <v>254</v>
      </c>
      <c r="D89" s="10" t="s">
        <v>84</v>
      </c>
      <c r="E89" s="14">
        <v>2000021</v>
      </c>
    </row>
    <row r="90" spans="2:5" x14ac:dyDescent="0.25">
      <c r="B90" s="13">
        <v>88</v>
      </c>
      <c r="C90" s="11" t="s">
        <v>252</v>
      </c>
      <c r="D90" s="11" t="s">
        <v>203</v>
      </c>
      <c r="E90" s="15">
        <v>3555559</v>
      </c>
    </row>
    <row r="91" spans="2:5" x14ac:dyDescent="0.25">
      <c r="B91" s="12">
        <v>89</v>
      </c>
      <c r="C91" s="10" t="s">
        <v>255</v>
      </c>
      <c r="D91" s="10" t="s">
        <v>52</v>
      </c>
      <c r="E91" s="14">
        <v>2000019</v>
      </c>
    </row>
    <row r="92" spans="2:5" x14ac:dyDescent="0.25">
      <c r="B92" s="13">
        <v>90</v>
      </c>
      <c r="C92" s="11" t="s">
        <v>256</v>
      </c>
      <c r="D92" s="11" t="s">
        <v>203</v>
      </c>
      <c r="E92" s="15">
        <v>2000038</v>
      </c>
    </row>
    <row r="93" spans="2:5" x14ac:dyDescent="0.25">
      <c r="B93" s="12">
        <v>91</v>
      </c>
      <c r="C93" s="10" t="s">
        <v>257</v>
      </c>
      <c r="D93" s="10" t="s">
        <v>172</v>
      </c>
      <c r="E93" s="14">
        <v>3000121</v>
      </c>
    </row>
    <row r="94" spans="2:5" x14ac:dyDescent="0.25">
      <c r="B94" s="13">
        <v>92</v>
      </c>
      <c r="C94" s="11" t="s">
        <v>258</v>
      </c>
      <c r="D94" s="11" t="s">
        <v>179</v>
      </c>
      <c r="E94" s="15">
        <v>2000027</v>
      </c>
    </row>
    <row r="95" spans="2:5" x14ac:dyDescent="0.25">
      <c r="B95" s="12">
        <v>93</v>
      </c>
      <c r="C95" s="10" t="s">
        <v>259</v>
      </c>
      <c r="D95" s="10" t="s">
        <v>84</v>
      </c>
      <c r="E95" s="14">
        <v>2000585</v>
      </c>
    </row>
    <row r="96" spans="2:5" x14ac:dyDescent="0.25">
      <c r="B96" s="13">
        <v>94</v>
      </c>
      <c r="C96" s="11" t="s">
        <v>260</v>
      </c>
      <c r="D96" s="11" t="s">
        <v>203</v>
      </c>
      <c r="E96" s="15">
        <v>2000537</v>
      </c>
    </row>
    <row r="97" spans="2:5" x14ac:dyDescent="0.25">
      <c r="B97" s="12">
        <v>95</v>
      </c>
      <c r="C97" s="10" t="s">
        <v>195</v>
      </c>
      <c r="D97" s="10" t="s">
        <v>52</v>
      </c>
      <c r="E97" s="14">
        <v>3000170</v>
      </c>
    </row>
    <row r="98" spans="2:5" x14ac:dyDescent="0.25">
      <c r="B98" s="13">
        <v>96</v>
      </c>
      <c r="C98" s="11" t="s">
        <v>261</v>
      </c>
      <c r="D98" s="11" t="s">
        <v>222</v>
      </c>
      <c r="E98" s="15">
        <v>2000003</v>
      </c>
    </row>
    <row r="99" spans="2:5" x14ac:dyDescent="0.25">
      <c r="B99" s="12">
        <v>97</v>
      </c>
      <c r="C99" s="10" t="s">
        <v>262</v>
      </c>
      <c r="D99" s="10" t="s">
        <v>263</v>
      </c>
      <c r="E99" s="14">
        <v>2000014</v>
      </c>
    </row>
    <row r="100" spans="2:5" x14ac:dyDescent="0.25">
      <c r="B100" s="13">
        <v>98</v>
      </c>
      <c r="C100" s="11" t="s">
        <v>264</v>
      </c>
      <c r="D100" s="11" t="s">
        <v>263</v>
      </c>
      <c r="E100" s="15">
        <v>2000015</v>
      </c>
    </row>
    <row r="101" spans="2:5" x14ac:dyDescent="0.25">
      <c r="B101" s="12">
        <v>99</v>
      </c>
      <c r="C101" s="10" t="s">
        <v>265</v>
      </c>
      <c r="D101" s="10" t="s">
        <v>263</v>
      </c>
      <c r="E101" s="14">
        <v>2000013</v>
      </c>
    </row>
    <row r="102" spans="2:5" x14ac:dyDescent="0.25">
      <c r="B102" s="13">
        <v>100</v>
      </c>
      <c r="C102" s="11" t="s">
        <v>266</v>
      </c>
      <c r="D102" s="11" t="s">
        <v>112</v>
      </c>
      <c r="E102" s="15">
        <v>2000990</v>
      </c>
    </row>
    <row r="103" spans="2:5" x14ac:dyDescent="0.25">
      <c r="B103" s="12">
        <v>101</v>
      </c>
      <c r="C103" s="10" t="s">
        <v>267</v>
      </c>
      <c r="D103" s="10" t="s">
        <v>176</v>
      </c>
      <c r="E103" s="14">
        <v>2001359</v>
      </c>
    </row>
    <row r="104" spans="2:5" x14ac:dyDescent="0.25">
      <c r="B104" s="13">
        <v>102</v>
      </c>
      <c r="C104" s="11" t="s">
        <v>268</v>
      </c>
      <c r="D104" s="11" t="s">
        <v>269</v>
      </c>
      <c r="E104" s="15">
        <v>2000686</v>
      </c>
    </row>
    <row r="105" spans="2:5" x14ac:dyDescent="0.25">
      <c r="B105" s="12">
        <v>103</v>
      </c>
      <c r="C105" s="10" t="s">
        <v>270</v>
      </c>
      <c r="D105" s="10" t="s">
        <v>271</v>
      </c>
      <c r="E105" s="14">
        <v>2000574</v>
      </c>
    </row>
    <row r="106" spans="2:5" x14ac:dyDescent="0.25">
      <c r="B106" s="13">
        <v>104</v>
      </c>
      <c r="C106" s="11" t="s">
        <v>272</v>
      </c>
      <c r="D106" s="11" t="s">
        <v>84</v>
      </c>
      <c r="E106" s="15">
        <v>2001270</v>
      </c>
    </row>
    <row r="107" spans="2:5" x14ac:dyDescent="0.25">
      <c r="B107" s="12">
        <v>105</v>
      </c>
      <c r="C107" s="10" t="s">
        <v>273</v>
      </c>
      <c r="D107" s="10" t="s">
        <v>169</v>
      </c>
      <c r="E107" s="14">
        <v>2000029</v>
      </c>
    </row>
    <row r="108" spans="2:5" x14ac:dyDescent="0.25">
      <c r="B108" s="13">
        <v>106</v>
      </c>
      <c r="C108" s="11" t="s">
        <v>274</v>
      </c>
      <c r="D108" s="11" t="s">
        <v>112</v>
      </c>
      <c r="E108" s="15">
        <v>2000026</v>
      </c>
    </row>
    <row r="109" spans="2:5" x14ac:dyDescent="0.25">
      <c r="B109" s="12">
        <v>107</v>
      </c>
      <c r="C109" s="10" t="s">
        <v>275</v>
      </c>
      <c r="D109" s="10" t="s">
        <v>84</v>
      </c>
      <c r="E109" s="14">
        <v>2000974</v>
      </c>
    </row>
    <row r="110" spans="2:5" x14ac:dyDescent="0.25">
      <c r="B110" s="13">
        <v>108</v>
      </c>
      <c r="C110" s="11" t="s">
        <v>276</v>
      </c>
      <c r="D110" s="11" t="s">
        <v>172</v>
      </c>
      <c r="E110" s="15">
        <v>2000007</v>
      </c>
    </row>
    <row r="111" spans="2:5" x14ac:dyDescent="0.25">
      <c r="B111" s="12">
        <v>109</v>
      </c>
      <c r="C111" s="10" t="s">
        <v>277</v>
      </c>
      <c r="D111" s="10" t="s">
        <v>269</v>
      </c>
      <c r="E111" s="14">
        <v>2000033</v>
      </c>
    </row>
    <row r="112" spans="2:5" x14ac:dyDescent="0.25">
      <c r="B112" s="13">
        <v>110</v>
      </c>
      <c r="C112" s="11" t="s">
        <v>278</v>
      </c>
      <c r="D112" s="11" t="s">
        <v>269</v>
      </c>
      <c r="E112" s="15">
        <v>2000032</v>
      </c>
    </row>
    <row r="113" spans="2:5" x14ac:dyDescent="0.25">
      <c r="B113" s="12">
        <v>111</v>
      </c>
      <c r="C113" s="10" t="s">
        <v>279</v>
      </c>
      <c r="D113" s="10" t="s">
        <v>271</v>
      </c>
      <c r="E113" s="14">
        <v>2000575</v>
      </c>
    </row>
    <row r="114" spans="2:5" x14ac:dyDescent="0.25">
      <c r="B114" s="13">
        <v>112</v>
      </c>
      <c r="C114" s="11" t="s">
        <v>280</v>
      </c>
      <c r="D114" s="11" t="s">
        <v>269</v>
      </c>
      <c r="E114" s="15">
        <v>2000034</v>
      </c>
    </row>
    <row r="115" spans="2:5" x14ac:dyDescent="0.25">
      <c r="B115" s="12">
        <v>113</v>
      </c>
      <c r="C115" s="10" t="s">
        <v>281</v>
      </c>
      <c r="D115" s="10" t="s">
        <v>208</v>
      </c>
      <c r="E115" s="14">
        <v>2000201</v>
      </c>
    </row>
    <row r="116" spans="2:5" x14ac:dyDescent="0.25">
      <c r="B116" s="13">
        <v>114</v>
      </c>
      <c r="C116" s="11" t="s">
        <v>282</v>
      </c>
      <c r="D116" s="11" t="s">
        <v>52</v>
      </c>
      <c r="E116" s="15">
        <v>2000639</v>
      </c>
    </row>
    <row r="117" spans="2:5" x14ac:dyDescent="0.25">
      <c r="B117" s="12">
        <v>115</v>
      </c>
      <c r="C117" s="10" t="s">
        <v>283</v>
      </c>
      <c r="D117" s="10" t="s">
        <v>198</v>
      </c>
      <c r="E117" s="14">
        <v>2000008</v>
      </c>
    </row>
    <row r="118" spans="2:5" x14ac:dyDescent="0.25">
      <c r="B118" s="13">
        <v>116</v>
      </c>
      <c r="C118" s="11" t="s">
        <v>284</v>
      </c>
      <c r="D118" s="11" t="s">
        <v>285</v>
      </c>
      <c r="E118" s="15">
        <v>2000190</v>
      </c>
    </row>
    <row r="119" spans="2:5" x14ac:dyDescent="0.25">
      <c r="B119" s="12">
        <v>117</v>
      </c>
      <c r="C119" s="10" t="s">
        <v>286</v>
      </c>
      <c r="D119" s="10" t="s">
        <v>287</v>
      </c>
      <c r="E119" s="14">
        <v>2000031</v>
      </c>
    </row>
    <row r="120" spans="2:5" x14ac:dyDescent="0.25">
      <c r="B120" s="13">
        <v>118</v>
      </c>
      <c r="C120" s="11" t="s">
        <v>288</v>
      </c>
      <c r="D120" s="11" t="s">
        <v>289</v>
      </c>
      <c r="E120" s="15">
        <v>2000577</v>
      </c>
    </row>
    <row r="121" spans="2:5" x14ac:dyDescent="0.25">
      <c r="B121" s="12">
        <v>119</v>
      </c>
      <c r="C121" s="10" t="s">
        <v>290</v>
      </c>
      <c r="D121" s="10" t="s">
        <v>291</v>
      </c>
      <c r="E121" s="14">
        <v>3000032</v>
      </c>
    </row>
    <row r="122" spans="2:5" x14ac:dyDescent="0.25">
      <c r="B122" s="13">
        <v>120</v>
      </c>
      <c r="C122" s="11" t="s">
        <v>292</v>
      </c>
      <c r="D122" s="11" t="s">
        <v>291</v>
      </c>
      <c r="E122" s="15">
        <v>2000191</v>
      </c>
    </row>
    <row r="123" spans="2:5" x14ac:dyDescent="0.25">
      <c r="B123" s="12">
        <v>121</v>
      </c>
      <c r="C123" s="10" t="s">
        <v>293</v>
      </c>
      <c r="D123" s="10" t="s">
        <v>112</v>
      </c>
      <c r="E123" s="14">
        <v>4000000</v>
      </c>
    </row>
    <row r="124" spans="2:5" x14ac:dyDescent="0.25">
      <c r="B124" s="13">
        <v>122</v>
      </c>
      <c r="C124" s="11" t="s">
        <v>294</v>
      </c>
      <c r="D124" s="11" t="s">
        <v>271</v>
      </c>
      <c r="E124" s="15">
        <v>2000196</v>
      </c>
    </row>
    <row r="125" spans="2:5" x14ac:dyDescent="0.25">
      <c r="B125" s="12">
        <v>123</v>
      </c>
      <c r="C125" s="10" t="s">
        <v>295</v>
      </c>
      <c r="D125" s="10" t="s">
        <v>291</v>
      </c>
      <c r="E125" s="14">
        <v>2000010</v>
      </c>
    </row>
    <row r="126" spans="2:5" x14ac:dyDescent="0.25">
      <c r="B126" s="13">
        <v>124</v>
      </c>
      <c r="C126" s="11" t="s">
        <v>296</v>
      </c>
      <c r="D126" s="11" t="s">
        <v>208</v>
      </c>
      <c r="E126" s="15">
        <v>3555580</v>
      </c>
    </row>
    <row r="127" spans="2:5" x14ac:dyDescent="0.25">
      <c r="B127" s="12">
        <v>125</v>
      </c>
      <c r="C127" s="10" t="s">
        <v>297</v>
      </c>
      <c r="D127" s="10" t="s">
        <v>169</v>
      </c>
      <c r="E127" s="14">
        <v>3000124</v>
      </c>
    </row>
    <row r="128" spans="2:5" x14ac:dyDescent="0.25">
      <c r="B128" s="13">
        <v>126</v>
      </c>
      <c r="C128" s="11" t="s">
        <v>298</v>
      </c>
      <c r="D128" s="11" t="s">
        <v>188</v>
      </c>
      <c r="E128" s="15">
        <v>2000016</v>
      </c>
    </row>
    <row r="129" spans="2:5" x14ac:dyDescent="0.25">
      <c r="B129" s="12">
        <v>127</v>
      </c>
      <c r="C129" s="10" t="s">
        <v>299</v>
      </c>
      <c r="D129" s="10" t="s">
        <v>52</v>
      </c>
      <c r="E129" s="14">
        <v>3000122</v>
      </c>
    </row>
    <row r="130" spans="2:5" x14ac:dyDescent="0.25">
      <c r="B130" s="13">
        <v>128</v>
      </c>
      <c r="C130" s="11" t="s">
        <v>300</v>
      </c>
      <c r="D130" s="11" t="s">
        <v>188</v>
      </c>
      <c r="E130" s="15">
        <v>3000207</v>
      </c>
    </row>
    <row r="131" spans="2:5" x14ac:dyDescent="0.25">
      <c r="B131" s="12">
        <v>129</v>
      </c>
      <c r="C131" s="10" t="s">
        <v>301</v>
      </c>
      <c r="D131" s="10" t="s">
        <v>84</v>
      </c>
      <c r="E131" s="14">
        <v>2000981</v>
      </c>
    </row>
    <row r="132" spans="2:5" x14ac:dyDescent="0.25">
      <c r="B132" s="13">
        <v>130</v>
      </c>
      <c r="C132" s="11" t="s">
        <v>302</v>
      </c>
      <c r="D132" s="11" t="s">
        <v>303</v>
      </c>
      <c r="E132" s="15">
        <v>2000020</v>
      </c>
    </row>
    <row r="133" spans="2:5" x14ac:dyDescent="0.25">
      <c r="B133" s="13">
        <v>131</v>
      </c>
      <c r="C133" s="11" t="s">
        <v>111</v>
      </c>
      <c r="D133" s="11" t="s">
        <v>112</v>
      </c>
      <c r="E133" s="15">
        <v>2002279</v>
      </c>
    </row>
  </sheetData>
  <conditionalFormatting sqref="B3:B12">
    <cfRule type="duplicateValues" dxfId="22" priority="1"/>
  </conditionalFormatting>
  <conditionalFormatting sqref="B13:B133">
    <cfRule type="duplicateValues" dxfId="21" priority="2"/>
  </conditionalFormatting>
  <conditionalFormatting sqref="C3:C12">
    <cfRule type="duplicateValues" dxfId="20" priority="8"/>
  </conditionalFormatting>
  <conditionalFormatting sqref="C13:C133">
    <cfRule type="duplicateValues" dxfId="19" priority="6"/>
  </conditionalFormatting>
  <conditionalFormatting sqref="E3:E133">
    <cfRule type="duplicateValues" dxfId="18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14D4-2459-4838-AE22-BF650C6170BD}">
  <sheetPr codeName="Sheet6"/>
  <dimension ref="B1:J20"/>
  <sheetViews>
    <sheetView workbookViewId="0">
      <selection activeCell="F16" sqref="F16"/>
    </sheetView>
  </sheetViews>
  <sheetFormatPr defaultRowHeight="15" x14ac:dyDescent="0.25"/>
  <cols>
    <col min="2" max="2" width="3" bestFit="1" customWidth="1"/>
    <col min="3" max="3" width="15.7109375" bestFit="1" customWidth="1"/>
    <col min="5" max="5" width="2" bestFit="1" customWidth="1"/>
    <col min="6" max="6" width="20.85546875" bestFit="1" customWidth="1"/>
    <col min="8" max="8" width="15.7109375" bestFit="1" customWidth="1"/>
    <col min="10" max="10" width="20.85546875" bestFit="1" customWidth="1"/>
  </cols>
  <sheetData>
    <row r="1" spans="2:10" x14ac:dyDescent="0.25">
      <c r="H1" t="s">
        <v>304</v>
      </c>
      <c r="J1" t="s">
        <v>305</v>
      </c>
    </row>
    <row r="2" spans="2:10" x14ac:dyDescent="0.25">
      <c r="B2" s="16" t="s">
        <v>31</v>
      </c>
      <c r="C2" s="16" t="s">
        <v>306</v>
      </c>
      <c r="E2" s="16" t="s">
        <v>31</v>
      </c>
      <c r="F2" s="16" t="s">
        <v>307</v>
      </c>
      <c r="H2" t="s">
        <v>66</v>
      </c>
      <c r="J2" t="s">
        <v>67</v>
      </c>
    </row>
    <row r="3" spans="2:10" x14ac:dyDescent="0.25">
      <c r="B3" s="12">
        <v>1</v>
      </c>
      <c r="C3" s="14" t="s">
        <v>66</v>
      </c>
      <c r="E3" s="13">
        <v>1</v>
      </c>
      <c r="F3" s="15" t="s">
        <v>129</v>
      </c>
      <c r="H3" t="s">
        <v>308</v>
      </c>
      <c r="J3" t="s">
        <v>58</v>
      </c>
    </row>
    <row r="4" spans="2:10" x14ac:dyDescent="0.25">
      <c r="B4" s="13">
        <v>2</v>
      </c>
      <c r="C4" s="15" t="s">
        <v>308</v>
      </c>
      <c r="E4" s="12">
        <v>2</v>
      </c>
      <c r="F4" s="14" t="s">
        <v>90</v>
      </c>
      <c r="H4" t="s">
        <v>78</v>
      </c>
      <c r="J4" t="s">
        <v>96</v>
      </c>
    </row>
    <row r="5" spans="2:10" x14ac:dyDescent="0.25">
      <c r="B5" s="12">
        <v>3</v>
      </c>
      <c r="C5" s="14" t="s">
        <v>78</v>
      </c>
      <c r="E5" s="13">
        <v>3</v>
      </c>
      <c r="F5" s="15" t="s">
        <v>109</v>
      </c>
      <c r="H5" t="s">
        <v>309</v>
      </c>
      <c r="J5" t="s">
        <v>79</v>
      </c>
    </row>
    <row r="6" spans="2:10" x14ac:dyDescent="0.25">
      <c r="B6" s="13">
        <v>4</v>
      </c>
      <c r="C6" s="15" t="s">
        <v>309</v>
      </c>
      <c r="E6" s="12">
        <v>4</v>
      </c>
      <c r="F6" s="14" t="s">
        <v>28</v>
      </c>
      <c r="H6" t="s">
        <v>27</v>
      </c>
      <c r="J6" t="s">
        <v>28</v>
      </c>
    </row>
    <row r="7" spans="2:10" x14ac:dyDescent="0.25">
      <c r="B7" s="12">
        <v>5</v>
      </c>
      <c r="C7" s="14" t="s">
        <v>27</v>
      </c>
      <c r="E7" s="13">
        <v>5</v>
      </c>
      <c r="F7" s="15" t="s">
        <v>79</v>
      </c>
      <c r="H7" t="s">
        <v>310</v>
      </c>
      <c r="J7" t="s">
        <v>109</v>
      </c>
    </row>
    <row r="8" spans="2:10" x14ac:dyDescent="0.25">
      <c r="B8" s="13">
        <v>6</v>
      </c>
      <c r="C8" s="15" t="s">
        <v>310</v>
      </c>
      <c r="E8" s="12">
        <v>6</v>
      </c>
      <c r="F8" s="14" t="s">
        <v>96</v>
      </c>
      <c r="H8" t="s">
        <v>311</v>
      </c>
      <c r="J8" t="s">
        <v>90</v>
      </c>
    </row>
    <row r="9" spans="2:10" x14ac:dyDescent="0.25">
      <c r="B9" s="12">
        <v>7</v>
      </c>
      <c r="C9" s="14" t="s">
        <v>311</v>
      </c>
      <c r="E9" s="13">
        <v>7</v>
      </c>
      <c r="F9" s="15" t="s">
        <v>58</v>
      </c>
      <c r="H9" t="s">
        <v>122</v>
      </c>
      <c r="J9" t="s">
        <v>129</v>
      </c>
    </row>
    <row r="10" spans="2:10" x14ac:dyDescent="0.25">
      <c r="B10" s="13">
        <v>8</v>
      </c>
      <c r="C10" s="15" t="s">
        <v>122</v>
      </c>
      <c r="E10" s="12">
        <v>8</v>
      </c>
      <c r="F10" s="14" t="s">
        <v>67</v>
      </c>
      <c r="H10" t="s">
        <v>116</v>
      </c>
    </row>
    <row r="11" spans="2:10" x14ac:dyDescent="0.25">
      <c r="B11" s="12">
        <v>9</v>
      </c>
      <c r="C11" s="14" t="s">
        <v>116</v>
      </c>
      <c r="H11" t="s">
        <v>312</v>
      </c>
    </row>
    <row r="12" spans="2:10" x14ac:dyDescent="0.25">
      <c r="B12" s="13">
        <v>10</v>
      </c>
      <c r="C12" s="15" t="s">
        <v>312</v>
      </c>
      <c r="H12" t="s">
        <v>313</v>
      </c>
    </row>
    <row r="13" spans="2:10" x14ac:dyDescent="0.25">
      <c r="B13" s="12">
        <v>11</v>
      </c>
      <c r="C13" s="14" t="s">
        <v>313</v>
      </c>
      <c r="H13" t="s">
        <v>57</v>
      </c>
    </row>
    <row r="14" spans="2:10" x14ac:dyDescent="0.25">
      <c r="B14" s="13">
        <v>12</v>
      </c>
      <c r="C14" s="15" t="s">
        <v>57</v>
      </c>
      <c r="H14" t="s">
        <v>314</v>
      </c>
    </row>
    <row r="15" spans="2:10" x14ac:dyDescent="0.25">
      <c r="B15" s="12">
        <v>13</v>
      </c>
      <c r="C15" s="14" t="s">
        <v>314</v>
      </c>
      <c r="H15" t="s">
        <v>89</v>
      </c>
    </row>
    <row r="16" spans="2:10" x14ac:dyDescent="0.25">
      <c r="B16" s="13">
        <v>14</v>
      </c>
      <c r="C16" s="15" t="s">
        <v>89</v>
      </c>
      <c r="H16" t="s">
        <v>315</v>
      </c>
    </row>
    <row r="17" spans="2:8" x14ac:dyDescent="0.25">
      <c r="B17" s="12">
        <v>15</v>
      </c>
      <c r="C17" s="14" t="s">
        <v>315</v>
      </c>
      <c r="H17" t="s">
        <v>137</v>
      </c>
    </row>
    <row r="18" spans="2:8" x14ac:dyDescent="0.25">
      <c r="B18" s="13">
        <v>16</v>
      </c>
      <c r="C18" s="15" t="s">
        <v>137</v>
      </c>
      <c r="H18" t="s">
        <v>316</v>
      </c>
    </row>
    <row r="19" spans="2:8" x14ac:dyDescent="0.25">
      <c r="B19" s="12">
        <v>17</v>
      </c>
      <c r="C19" s="14" t="s">
        <v>316</v>
      </c>
      <c r="H19" t="s">
        <v>317</v>
      </c>
    </row>
    <row r="20" spans="2:8" x14ac:dyDescent="0.25">
      <c r="B20" s="13">
        <v>18</v>
      </c>
      <c r="C20" s="15" t="s">
        <v>317</v>
      </c>
    </row>
  </sheetData>
  <conditionalFormatting sqref="B3:B20">
    <cfRule type="duplicateValues" dxfId="17" priority="3"/>
  </conditionalFormatting>
  <conditionalFormatting sqref="C3:C20">
    <cfRule type="duplicateValues" dxfId="16" priority="4"/>
  </conditionalFormatting>
  <conditionalFormatting sqref="E3:E10">
    <cfRule type="duplicateValues" dxfId="15" priority="1"/>
  </conditionalFormatting>
  <conditionalFormatting sqref="F3:F10">
    <cfRule type="duplicateValues" dxfId="14" priority="2"/>
  </conditionalFormatting>
  <conditionalFormatting sqref="H2:H19">
    <cfRule type="duplicateValues" dxfId="13" priority="15"/>
  </conditionalFormatting>
  <conditionalFormatting sqref="H20">
    <cfRule type="duplicateValues" dxfId="12" priority="7"/>
  </conditionalFormatting>
  <conditionalFormatting sqref="J20 J2:J17">
    <cfRule type="duplicateValues" dxfId="11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2FA7-1224-4210-B0DD-EA8552C875E4}">
  <sheetPr codeName="Sheet7"/>
  <dimension ref="B3:C9"/>
  <sheetViews>
    <sheetView workbookViewId="0">
      <selection activeCell="B5" sqref="B5"/>
    </sheetView>
  </sheetViews>
  <sheetFormatPr defaultRowHeight="15" x14ac:dyDescent="0.25"/>
  <cols>
    <col min="1" max="1" width="8.140625" customWidth="1"/>
    <col min="2" max="2" width="9.42578125" customWidth="1"/>
    <col min="3" max="3" width="54.28515625" customWidth="1"/>
  </cols>
  <sheetData>
    <row r="3" spans="2:3" x14ac:dyDescent="0.25">
      <c r="B3" s="16" t="s">
        <v>31</v>
      </c>
      <c r="C3" s="16" t="s">
        <v>318</v>
      </c>
    </row>
    <row r="4" spans="2:3" x14ac:dyDescent="0.25">
      <c r="B4" s="12">
        <v>1</v>
      </c>
      <c r="C4" s="18" t="s">
        <v>55</v>
      </c>
    </row>
    <row r="5" spans="2:3" x14ac:dyDescent="0.25">
      <c r="B5" s="13">
        <v>2</v>
      </c>
      <c r="C5" s="17" t="s">
        <v>76</v>
      </c>
    </row>
    <row r="6" spans="2:3" x14ac:dyDescent="0.25">
      <c r="B6" s="12">
        <v>3</v>
      </c>
      <c r="C6" s="18" t="s">
        <v>19</v>
      </c>
    </row>
    <row r="7" spans="2:3" x14ac:dyDescent="0.25">
      <c r="B7" s="13">
        <v>4</v>
      </c>
      <c r="C7" s="17" t="s">
        <v>64</v>
      </c>
    </row>
    <row r="8" spans="2:3" x14ac:dyDescent="0.25">
      <c r="B8" s="12">
        <v>5</v>
      </c>
      <c r="C8" s="18" t="s">
        <v>115</v>
      </c>
    </row>
    <row r="9" spans="2:3" x14ac:dyDescent="0.25">
      <c r="B9" s="13">
        <v>6</v>
      </c>
      <c r="C9" s="17" t="s">
        <v>87</v>
      </c>
    </row>
  </sheetData>
  <autoFilter ref="B3:C3" xr:uid="{352E2FA7-1224-4210-B0DD-EA8552C875E4}">
    <sortState xmlns:xlrd2="http://schemas.microsoft.com/office/spreadsheetml/2017/richdata2" ref="B4:C9">
      <sortCondition ref="C3"/>
    </sortState>
  </autoFilter>
  <conditionalFormatting sqref="B4">
    <cfRule type="duplicateValues" dxfId="10" priority="1"/>
  </conditionalFormatting>
  <conditionalFormatting sqref="B5:B9">
    <cfRule type="duplicateValues" dxfId="9" priority="18"/>
  </conditionalFormatting>
  <conditionalFormatting sqref="C4:C9">
    <cfRule type="duplicateValues" dxfId="8" priority="1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8AD5-1FEE-4596-B06E-C3B2B3703679}">
  <sheetPr>
    <tabColor rgb="FF2E75B6"/>
  </sheetPr>
  <dimension ref="A1:M64"/>
  <sheetViews>
    <sheetView showGridLines="0" zoomScaleNormal="100" workbookViewId="0">
      <pane ySplit="2" topLeftCell="A3" activePane="bottomLeft" state="frozen"/>
      <selection pane="bottomLeft" activeCell="J15" sqref="J15"/>
    </sheetView>
  </sheetViews>
  <sheetFormatPr defaultColWidth="8.7109375" defaultRowHeight="15" x14ac:dyDescent="0.25"/>
  <cols>
    <col min="1" max="1" width="40.140625" bestFit="1" customWidth="1"/>
    <col min="2" max="2" width="34.28515625" customWidth="1"/>
    <col min="3" max="3" width="17.28515625" customWidth="1"/>
    <col min="4" max="4" width="12.7109375" bestFit="1" customWidth="1"/>
    <col min="5" max="5" width="12.140625" customWidth="1"/>
    <col min="6" max="6" width="9.28515625" bestFit="1" customWidth="1"/>
    <col min="7" max="8" width="11.85546875" bestFit="1" customWidth="1"/>
    <col min="9" max="9" width="11.85546875" customWidth="1"/>
    <col min="10" max="10" width="30.42578125" customWidth="1"/>
    <col min="11" max="11" width="24.7109375" customWidth="1"/>
    <col min="12" max="12" width="31.42578125" customWidth="1"/>
    <col min="13" max="13" width="12.7109375" bestFit="1" customWidth="1"/>
  </cols>
  <sheetData>
    <row r="1" spans="1:13" x14ac:dyDescent="0.25">
      <c r="A1" s="131" t="s">
        <v>381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 t="s">
        <v>366</v>
      </c>
      <c r="M1" s="131"/>
    </row>
    <row r="2" spans="1:13" x14ac:dyDescent="0.25">
      <c r="A2" t="s">
        <v>5</v>
      </c>
      <c r="B2" t="s">
        <v>320</v>
      </c>
      <c r="C2" t="s">
        <v>321</v>
      </c>
      <c r="D2" t="s">
        <v>33</v>
      </c>
      <c r="E2" t="s">
        <v>362</v>
      </c>
      <c r="F2" t="s">
        <v>35</v>
      </c>
      <c r="G2" t="s">
        <v>363</v>
      </c>
      <c r="H2" t="s">
        <v>325</v>
      </c>
      <c r="I2" t="s">
        <v>326</v>
      </c>
      <c r="J2" t="s">
        <v>327</v>
      </c>
      <c r="K2" t="s">
        <v>380</v>
      </c>
      <c r="L2" t="s">
        <v>367</v>
      </c>
      <c r="M2" s="127">
        <v>46268</v>
      </c>
    </row>
    <row r="3" spans="1:13" x14ac:dyDescent="0.25">
      <c r="A3" t="s">
        <v>17</v>
      </c>
      <c r="B3" t="s">
        <v>7</v>
      </c>
      <c r="C3">
        <v>91187251</v>
      </c>
      <c r="D3" s="126">
        <v>93458.11</v>
      </c>
      <c r="E3" s="134"/>
      <c r="F3" s="132" t="s">
        <v>330</v>
      </c>
      <c r="G3" s="134"/>
      <c r="H3" s="127">
        <v>46233</v>
      </c>
      <c r="I3" s="132"/>
      <c r="J3" s="132"/>
      <c r="K3" s="133" t="str">
        <f>IF(F3="Accepted",IF(G3="","Add collection date","Complete"),IF(E3="","Enter presentation date",IF(I3="","Add tracking #","Follow up")))</f>
        <v>Add collection date</v>
      </c>
    </row>
    <row r="4" spans="1:13" x14ac:dyDescent="0.25">
      <c r="A4" t="s">
        <v>38</v>
      </c>
      <c r="B4" t="s">
        <v>7</v>
      </c>
      <c r="C4">
        <v>91189924</v>
      </c>
      <c r="D4" s="126">
        <v>57415.67</v>
      </c>
      <c r="E4" s="134"/>
      <c r="F4" s="132" t="s">
        <v>330</v>
      </c>
      <c r="G4" s="134"/>
      <c r="H4" s="127">
        <v>46238</v>
      </c>
      <c r="I4" s="132"/>
      <c r="J4" s="132"/>
      <c r="K4" s="133" t="str">
        <f>IF(F4="Accepted",IF(G4="","Add collection date","Complete"),IF(E4="","Enter presentation date",IF(I4="","Add tracking #","Follow up")))</f>
        <v>Add collection date</v>
      </c>
      <c r="L4" s="124" t="s">
        <v>348</v>
      </c>
      <c r="M4" s="124" t="s">
        <v>33</v>
      </c>
    </row>
    <row r="5" spans="1:13" x14ac:dyDescent="0.25">
      <c r="A5" t="s">
        <v>38</v>
      </c>
      <c r="B5" t="s">
        <v>7</v>
      </c>
      <c r="C5">
        <v>91186097</v>
      </c>
      <c r="D5" s="126">
        <v>155195.44</v>
      </c>
      <c r="E5" s="134"/>
      <c r="F5" s="132" t="s">
        <v>330</v>
      </c>
      <c r="G5" s="134"/>
      <c r="H5" s="127">
        <v>46238</v>
      </c>
      <c r="I5" s="132"/>
      <c r="J5" s="132"/>
      <c r="K5" s="133" t="str">
        <f>IF(F5="Accepted",IF(G5="","Add collection date","Complete"),IF(E5="","Enter presentation date",IF(I5="","Add tracking #","Follow up")))</f>
        <v>Add collection date</v>
      </c>
      <c r="L5" t="s">
        <v>368</v>
      </c>
      <c r="M5">
        <f>COUNTA(C3:C62)</f>
        <v>60</v>
      </c>
    </row>
    <row r="6" spans="1:13" x14ac:dyDescent="0.25">
      <c r="A6" t="s">
        <v>38</v>
      </c>
      <c r="B6" t="s">
        <v>7</v>
      </c>
      <c r="C6">
        <v>91189919</v>
      </c>
      <c r="D6" s="126">
        <v>1993.6</v>
      </c>
      <c r="E6" s="134"/>
      <c r="F6" s="132" t="s">
        <v>330</v>
      </c>
      <c r="G6" s="134"/>
      <c r="H6" s="127">
        <v>46238</v>
      </c>
      <c r="I6" s="132"/>
      <c r="J6" s="132"/>
      <c r="K6" s="133" t="str">
        <f>IF(F6="Accepted",IF(G6="","Add collection date","Complete"),IF(E6="","Enter presentation date",IF(I6="","Add tracking #","Follow up")))</f>
        <v>Add collection date</v>
      </c>
      <c r="L6" t="s">
        <v>369</v>
      </c>
      <c r="M6" s="126">
        <f>SUM(D3:D62)</f>
        <v>11186701.75</v>
      </c>
    </row>
    <row r="7" spans="1:13" x14ac:dyDescent="0.25">
      <c r="A7" t="s">
        <v>38</v>
      </c>
      <c r="B7" t="s">
        <v>7</v>
      </c>
      <c r="C7">
        <v>91189901</v>
      </c>
      <c r="D7" s="126">
        <v>18008.96</v>
      </c>
      <c r="E7" s="134"/>
      <c r="F7" s="132" t="s">
        <v>145</v>
      </c>
      <c r="G7" s="134"/>
      <c r="H7" s="127"/>
      <c r="I7" s="132"/>
      <c r="J7" s="132" t="s">
        <v>332</v>
      </c>
      <c r="K7" s="133" t="str">
        <f>IF(F7="Accepted",IF(G7="","Add collection date","Complete"),IF(E7="","Enter presentation date",IF(I7="","Add tracking #","Follow up")))</f>
        <v>Enter presentation date</v>
      </c>
      <c r="L7" t="s">
        <v>330</v>
      </c>
      <c r="M7">
        <f>COUNTIF(F3:F62,"Accepted")</f>
        <v>11</v>
      </c>
    </row>
    <row r="8" spans="1:13" x14ac:dyDescent="0.25">
      <c r="A8" t="s">
        <v>43</v>
      </c>
      <c r="B8" t="s">
        <v>7</v>
      </c>
      <c r="C8">
        <v>91195705</v>
      </c>
      <c r="D8" s="126">
        <v>355645.85</v>
      </c>
      <c r="E8" s="134"/>
      <c r="F8" s="132" t="s">
        <v>330</v>
      </c>
      <c r="G8" s="134"/>
      <c r="H8" s="127">
        <v>46259</v>
      </c>
      <c r="I8" s="132"/>
      <c r="J8" s="132"/>
      <c r="K8" s="133" t="str">
        <f>IF(F8="Accepted",IF(G8="","Add collection date","Complete"),IF(E8="","Enter presentation date",IF(I8="","Add tracking #","Follow up")))</f>
        <v>Add collection date</v>
      </c>
      <c r="L8" t="s">
        <v>145</v>
      </c>
      <c r="M8">
        <f>COUNTIF(F3:F62,"Pending")</f>
        <v>49</v>
      </c>
    </row>
    <row r="9" spans="1:13" x14ac:dyDescent="0.25">
      <c r="A9" t="s">
        <v>43</v>
      </c>
      <c r="B9" t="s">
        <v>7</v>
      </c>
      <c r="C9">
        <v>91196156</v>
      </c>
      <c r="D9" s="126">
        <v>59100</v>
      </c>
      <c r="E9" s="134"/>
      <c r="F9" s="132" t="s">
        <v>330</v>
      </c>
      <c r="G9" s="134">
        <v>46259</v>
      </c>
      <c r="H9" s="127">
        <v>46259</v>
      </c>
      <c r="I9" s="132"/>
      <c r="J9" s="132"/>
      <c r="K9" s="133" t="str">
        <f>IF(F9="Accepted",IF(G9="","Add collection date","Complete"),IF(E9="","Enter presentation date",IF(I9="","Add tracking #","Follow up")))</f>
        <v>Complete</v>
      </c>
      <c r="L9" t="s">
        <v>370</v>
      </c>
      <c r="M9">
        <f>COUNTBLANK(E3:E62)</f>
        <v>60</v>
      </c>
    </row>
    <row r="10" spans="1:13" x14ac:dyDescent="0.25">
      <c r="A10" t="s">
        <v>48</v>
      </c>
      <c r="B10" t="s">
        <v>7</v>
      </c>
      <c r="C10">
        <v>91197426</v>
      </c>
      <c r="D10" s="126">
        <v>172096.92</v>
      </c>
      <c r="E10" s="134"/>
      <c r="F10" s="132" t="s">
        <v>145</v>
      </c>
      <c r="G10" s="134"/>
      <c r="H10" s="127"/>
      <c r="I10" s="132"/>
      <c r="J10" s="132"/>
      <c r="K10" s="133" t="str">
        <f>IF(F10="Accepted",IF(G10="","Add collection date","Complete"),IF(E10="","Enter presentation date",IF(I10="","Add tracking #","Follow up")))</f>
        <v>Enter presentation date</v>
      </c>
      <c r="L10" t="s">
        <v>371</v>
      </c>
      <c r="M10">
        <f>COUNTBLANK(G3:G62)</f>
        <v>59</v>
      </c>
    </row>
    <row r="11" spans="1:13" x14ac:dyDescent="0.25">
      <c r="A11" t="s">
        <v>53</v>
      </c>
      <c r="B11" t="s">
        <v>51</v>
      </c>
      <c r="C11">
        <v>91200826</v>
      </c>
      <c r="D11" s="126">
        <v>650451</v>
      </c>
      <c r="E11" s="134"/>
      <c r="F11" s="132" t="s">
        <v>145</v>
      </c>
      <c r="G11" s="134"/>
      <c r="H11" s="127"/>
      <c r="I11" s="132"/>
      <c r="J11" s="132"/>
      <c r="K11" s="133" t="str">
        <f>IF(F11="Accepted",IF(G11="","Add collection date","Complete"),IF(E11="","Enter presentation date",IF(I11="","Add tracking #","Follow up")))</f>
        <v>Enter presentation date</v>
      </c>
      <c r="L11" t="s">
        <v>372</v>
      </c>
      <c r="M11">
        <f>COUNTBLANK(I3:I62)</f>
        <v>60</v>
      </c>
    </row>
    <row r="12" spans="1:13" x14ac:dyDescent="0.25">
      <c r="A12" t="s">
        <v>53</v>
      </c>
      <c r="B12" t="s">
        <v>51</v>
      </c>
      <c r="C12">
        <v>91206415</v>
      </c>
      <c r="D12" s="126">
        <v>100351.3</v>
      </c>
      <c r="E12" s="134"/>
      <c r="F12" s="132" t="s">
        <v>145</v>
      </c>
      <c r="G12" s="134"/>
      <c r="H12" s="127"/>
      <c r="I12" s="132"/>
      <c r="J12" s="132"/>
      <c r="K12" s="133" t="str">
        <f>IF(F12="Accepted",IF(G12="","Add collection date","Complete"),IF(E12="","Enter presentation date",IF(I12="","Add tracking #","Follow up")))</f>
        <v>Enter presentation date</v>
      </c>
      <c r="L12" t="s">
        <v>373</v>
      </c>
      <c r="M12">
        <f>COUNTIFS(F3:F62,"Pending",H3:H62,"&lt;"&amp;DATE(2026,9,3),H3:H62,"&lt;&gt;")</f>
        <v>18</v>
      </c>
    </row>
    <row r="13" spans="1:13" x14ac:dyDescent="0.25">
      <c r="A13" t="s">
        <v>62</v>
      </c>
      <c r="B13" t="s">
        <v>60</v>
      </c>
      <c r="C13">
        <v>91199933</v>
      </c>
      <c r="D13" s="126">
        <v>200806.15</v>
      </c>
      <c r="E13" s="134"/>
      <c r="F13" s="132" t="s">
        <v>145</v>
      </c>
      <c r="G13" s="134"/>
      <c r="H13" s="127"/>
      <c r="I13" s="132"/>
      <c r="J13" s="132"/>
      <c r="K13" s="133" t="str">
        <f>IF(F13="Accepted",IF(G13="","Add collection date","Complete"),IF(E13="","Enter presentation date",IF(I13="","Add tracking #","Follow up")))</f>
        <v>Enter presentation date</v>
      </c>
    </row>
    <row r="14" spans="1:13" x14ac:dyDescent="0.25">
      <c r="A14" t="s">
        <v>69</v>
      </c>
      <c r="B14" t="s">
        <v>51</v>
      </c>
      <c r="C14">
        <v>91206417</v>
      </c>
      <c r="D14" s="126">
        <v>374620.58</v>
      </c>
      <c r="E14" s="134"/>
      <c r="F14" s="132" t="s">
        <v>145</v>
      </c>
      <c r="G14" s="134"/>
      <c r="H14" s="127"/>
      <c r="I14" s="132"/>
      <c r="J14" s="132"/>
      <c r="K14" s="133" t="str">
        <f>IF(F14="Accepted",IF(G14="","Add collection date","Complete"),IF(E14="","Enter presentation date",IF(I14="","Add tracking #","Follow up")))</f>
        <v>Enter presentation date</v>
      </c>
      <c r="L14" s="124" t="s">
        <v>374</v>
      </c>
      <c r="M14" s="124"/>
    </row>
    <row r="15" spans="1:13" x14ac:dyDescent="0.25">
      <c r="A15" t="s">
        <v>69</v>
      </c>
      <c r="B15" t="s">
        <v>51</v>
      </c>
      <c r="C15">
        <v>91213842</v>
      </c>
      <c r="D15" s="126">
        <v>286840.8</v>
      </c>
      <c r="E15" s="134"/>
      <c r="F15" s="132" t="s">
        <v>145</v>
      </c>
      <c r="G15" s="134"/>
      <c r="H15" s="127"/>
      <c r="I15" s="132"/>
      <c r="J15" s="132"/>
      <c r="K15" s="133" t="str">
        <f>IF(F15="Accepted",IF(G15="","Add collection date","Complete"),IF(E15="","Enter presentation date",IF(I15="","Add tracking #","Follow up")))</f>
        <v>Enter presentation date</v>
      </c>
      <c r="L15" t="s">
        <v>375</v>
      </c>
    </row>
    <row r="16" spans="1:13" x14ac:dyDescent="0.25">
      <c r="A16" t="s">
        <v>69</v>
      </c>
      <c r="B16" t="s">
        <v>51</v>
      </c>
      <c r="C16">
        <v>91213847</v>
      </c>
      <c r="D16" s="126">
        <v>39033.9</v>
      </c>
      <c r="E16" s="134"/>
      <c r="F16" s="132" t="s">
        <v>145</v>
      </c>
      <c r="G16" s="134"/>
      <c r="H16" s="127"/>
      <c r="I16" s="132"/>
      <c r="J16" s="132"/>
      <c r="K16" s="133" t="str">
        <f>IF(F16="Accepted",IF(G16="","Add collection date","Complete"),IF(E16="","Enter presentation date",IF(I16="","Add tracking #","Follow up")))</f>
        <v>Enter presentation date</v>
      </c>
      <c r="L16" t="s">
        <v>376</v>
      </c>
    </row>
    <row r="17" spans="1:12" x14ac:dyDescent="0.25">
      <c r="A17" t="s">
        <v>74</v>
      </c>
      <c r="B17" t="s">
        <v>72</v>
      </c>
      <c r="C17">
        <v>91206606</v>
      </c>
      <c r="D17" s="126">
        <v>438144</v>
      </c>
      <c r="E17" s="134"/>
      <c r="F17" s="132" t="s">
        <v>330</v>
      </c>
      <c r="G17" s="134"/>
      <c r="H17" s="127">
        <v>46304</v>
      </c>
      <c r="I17" s="132"/>
      <c r="J17" s="132"/>
      <c r="K17" s="133" t="str">
        <f>IF(F17="Accepted",IF(G17="","Add collection date","Complete"),IF(E17="","Enter presentation date",IF(I17="","Add tracking #","Follow up")))</f>
        <v>Add collection date</v>
      </c>
      <c r="L17" t="s">
        <v>377</v>
      </c>
    </row>
    <row r="18" spans="1:12" x14ac:dyDescent="0.25">
      <c r="A18" t="s">
        <v>74</v>
      </c>
      <c r="B18" t="s">
        <v>72</v>
      </c>
      <c r="C18">
        <v>91206608</v>
      </c>
      <c r="D18" s="126">
        <v>310587.01</v>
      </c>
      <c r="E18" s="134"/>
      <c r="F18" s="132" t="s">
        <v>330</v>
      </c>
      <c r="G18" s="134"/>
      <c r="H18" s="127">
        <v>46304</v>
      </c>
      <c r="I18" s="132"/>
      <c r="J18" s="132"/>
      <c r="K18" s="133" t="str">
        <f>IF(F18="Accepted",IF(G18="","Add collection date","Complete"),IF(E18="","Enter presentation date",IF(I18="","Add tracking #","Follow up")))</f>
        <v>Add collection date</v>
      </c>
      <c r="L18" t="s">
        <v>378</v>
      </c>
    </row>
    <row r="19" spans="1:12" x14ac:dyDescent="0.25">
      <c r="A19" t="s">
        <v>74</v>
      </c>
      <c r="B19" t="s">
        <v>72</v>
      </c>
      <c r="C19">
        <v>91206609</v>
      </c>
      <c r="D19" s="126">
        <v>37391.839999999997</v>
      </c>
      <c r="E19" s="134"/>
      <c r="F19" s="132" t="s">
        <v>330</v>
      </c>
      <c r="G19" s="134"/>
      <c r="H19" s="127">
        <v>46304</v>
      </c>
      <c r="I19" s="132"/>
      <c r="J19" s="132"/>
      <c r="K19" s="133" t="str">
        <f>IF(F19="Accepted",IF(G19="","Add collection date","Complete"),IF(E19="","Enter presentation date",IF(I19="","Add tracking #","Follow up")))</f>
        <v>Add collection date</v>
      </c>
      <c r="L19" t="s">
        <v>379</v>
      </c>
    </row>
    <row r="20" spans="1:12" x14ac:dyDescent="0.25">
      <c r="A20" t="s">
        <v>74</v>
      </c>
      <c r="B20" t="s">
        <v>72</v>
      </c>
      <c r="C20">
        <v>91213275</v>
      </c>
      <c r="D20" s="126">
        <v>84657.9</v>
      </c>
      <c r="E20" s="134"/>
      <c r="F20" s="132" t="s">
        <v>145</v>
      </c>
      <c r="G20" s="134"/>
      <c r="H20" s="127"/>
      <c r="I20" s="132"/>
      <c r="J20" s="132"/>
      <c r="K20" s="133" t="str">
        <f>IF(F20="Accepted",IF(G20="","Add collection date","Complete"),IF(E20="","Enter presentation date",IF(I20="","Add tracking #","Follow up")))</f>
        <v>Enter presentation date</v>
      </c>
    </row>
    <row r="21" spans="1:12" x14ac:dyDescent="0.25">
      <c r="A21" t="s">
        <v>74</v>
      </c>
      <c r="B21" t="s">
        <v>72</v>
      </c>
      <c r="C21">
        <v>91213277</v>
      </c>
      <c r="D21" s="126">
        <v>592683.1</v>
      </c>
      <c r="E21" s="134"/>
      <c r="F21" s="132" t="s">
        <v>145</v>
      </c>
      <c r="G21" s="134"/>
      <c r="H21" s="127"/>
      <c r="I21" s="132"/>
      <c r="J21" s="132"/>
      <c r="K21" s="133" t="str">
        <f>IF(F21="Accepted",IF(G21="","Add collection date","Complete"),IF(E21="","Enter presentation date",IF(I21="","Add tracking #","Follow up")))</f>
        <v>Enter presentation date</v>
      </c>
    </row>
    <row r="22" spans="1:12" x14ac:dyDescent="0.25">
      <c r="A22" t="s">
        <v>74</v>
      </c>
      <c r="B22" t="s">
        <v>72</v>
      </c>
      <c r="C22">
        <v>91228018</v>
      </c>
      <c r="D22" s="126">
        <v>555970.78</v>
      </c>
      <c r="E22" s="134"/>
      <c r="F22" s="132" t="s">
        <v>145</v>
      </c>
      <c r="G22" s="134"/>
      <c r="H22" s="127">
        <v>46198</v>
      </c>
      <c r="I22" s="132"/>
      <c r="J22" s="132"/>
      <c r="K22" s="133" t="str">
        <f>IF(F22="Accepted",IF(G22="","Add collection date","Complete"),IF(E22="","Enter presentation date",IF(I22="","Add tracking #","Follow up")))</f>
        <v>Enter presentation date</v>
      </c>
    </row>
    <row r="23" spans="1:12" x14ac:dyDescent="0.25">
      <c r="A23" t="s">
        <v>74</v>
      </c>
      <c r="B23" t="s">
        <v>72</v>
      </c>
      <c r="C23">
        <v>91228020</v>
      </c>
      <c r="D23" s="126">
        <v>700812.44</v>
      </c>
      <c r="E23" s="134"/>
      <c r="F23" s="132" t="s">
        <v>145</v>
      </c>
      <c r="G23" s="134"/>
      <c r="H23" s="127">
        <v>46198</v>
      </c>
      <c r="I23" s="132"/>
      <c r="J23" s="132"/>
      <c r="K23" s="133" t="str">
        <f>IF(F23="Accepted",IF(G23="","Add collection date","Complete"),IF(E23="","Enter presentation date",IF(I23="","Add tracking #","Follow up")))</f>
        <v>Enter presentation date</v>
      </c>
    </row>
    <row r="24" spans="1:12" x14ac:dyDescent="0.25">
      <c r="A24" t="s">
        <v>74</v>
      </c>
      <c r="B24" t="s">
        <v>72</v>
      </c>
      <c r="C24">
        <v>91228458</v>
      </c>
      <c r="D24" s="126">
        <v>161695.12</v>
      </c>
      <c r="E24" s="134"/>
      <c r="F24" s="132" t="s">
        <v>145</v>
      </c>
      <c r="G24" s="134"/>
      <c r="H24" s="127">
        <v>46198</v>
      </c>
      <c r="I24" s="132"/>
      <c r="J24" s="132"/>
      <c r="K24" s="133" t="str">
        <f>IF(F24="Accepted",IF(G24="","Add collection date","Complete"),IF(E24="","Enter presentation date",IF(I24="","Add tracking #","Follow up")))</f>
        <v>Enter presentation date</v>
      </c>
    </row>
    <row r="25" spans="1:12" x14ac:dyDescent="0.25">
      <c r="A25" t="s">
        <v>85</v>
      </c>
      <c r="B25" t="s">
        <v>83</v>
      </c>
      <c r="C25">
        <v>91206748</v>
      </c>
      <c r="D25" s="126">
        <v>46729</v>
      </c>
      <c r="E25" s="134"/>
      <c r="F25" s="132" t="s">
        <v>145</v>
      </c>
      <c r="G25" s="134"/>
      <c r="H25" s="127"/>
      <c r="I25" s="132"/>
      <c r="J25" s="132"/>
      <c r="K25" s="133" t="str">
        <f>IF(F25="Accepted",IF(G25="","Add collection date","Complete"),IF(E25="","Enter presentation date",IF(I25="","Add tracking #","Follow up")))</f>
        <v>Enter presentation date</v>
      </c>
    </row>
    <row r="26" spans="1:12" x14ac:dyDescent="0.25">
      <c r="A26" t="s">
        <v>93</v>
      </c>
      <c r="B26" t="s">
        <v>92</v>
      </c>
      <c r="C26">
        <v>91205843</v>
      </c>
      <c r="D26" s="126">
        <v>389958.34</v>
      </c>
      <c r="E26" s="134"/>
      <c r="F26" s="132" t="s">
        <v>145</v>
      </c>
      <c r="G26" s="134"/>
      <c r="H26" s="127"/>
      <c r="I26" s="132"/>
      <c r="J26" s="132"/>
      <c r="K26" s="133" t="str">
        <f>IF(F26="Accepted",IF(G26="","Add collection date","Complete"),IF(E26="","Enter presentation date",IF(I26="","Add tracking #","Follow up")))</f>
        <v>Enter presentation date</v>
      </c>
    </row>
    <row r="27" spans="1:12" x14ac:dyDescent="0.25">
      <c r="A27" t="s">
        <v>93</v>
      </c>
      <c r="B27" t="s">
        <v>92</v>
      </c>
      <c r="C27">
        <v>91214870</v>
      </c>
      <c r="D27" s="126">
        <v>85423.4</v>
      </c>
      <c r="E27" s="134"/>
      <c r="F27" s="132" t="s">
        <v>145</v>
      </c>
      <c r="G27" s="134"/>
      <c r="H27" s="127"/>
      <c r="I27" s="132"/>
      <c r="J27" s="132"/>
      <c r="K27" s="133" t="str">
        <f>IF(F27="Accepted",IF(G27="","Add collection date","Complete"),IF(E27="","Enter presentation date",IF(I27="","Add tracking #","Follow up")))</f>
        <v>Enter presentation date</v>
      </c>
    </row>
    <row r="28" spans="1:12" x14ac:dyDescent="0.25">
      <c r="A28" t="s">
        <v>364</v>
      </c>
      <c r="B28" t="s">
        <v>7</v>
      </c>
      <c r="C28">
        <v>91205473</v>
      </c>
      <c r="D28" s="126">
        <v>0</v>
      </c>
      <c r="E28" s="134"/>
      <c r="F28" s="132" t="s">
        <v>145</v>
      </c>
      <c r="G28" s="134"/>
      <c r="H28" s="127"/>
      <c r="I28" s="132"/>
      <c r="J28" s="132"/>
      <c r="K28" s="133" t="str">
        <f>IF(F28="Accepted",IF(G28="","Add collection date","Complete"),IF(E28="","Enter presentation date",IF(I28="","Add tracking #","Follow up")))</f>
        <v>Enter presentation date</v>
      </c>
    </row>
    <row r="29" spans="1:12" x14ac:dyDescent="0.25">
      <c r="A29" t="s">
        <v>99</v>
      </c>
      <c r="B29" t="s">
        <v>7</v>
      </c>
      <c r="C29">
        <v>91213468</v>
      </c>
      <c r="D29" s="126">
        <v>0</v>
      </c>
      <c r="E29" s="134"/>
      <c r="F29" s="132" t="s">
        <v>145</v>
      </c>
      <c r="G29" s="134"/>
      <c r="H29" s="127"/>
      <c r="I29" s="132"/>
      <c r="J29" s="132"/>
      <c r="K29" s="133" t="str">
        <f>IF(F29="Accepted",IF(G29="","Add collection date","Complete"),IF(E29="","Enter presentation date",IF(I29="","Add tracking #","Follow up")))</f>
        <v>Enter presentation date</v>
      </c>
    </row>
    <row r="30" spans="1:12" x14ac:dyDescent="0.25">
      <c r="A30" t="s">
        <v>101</v>
      </c>
      <c r="B30" t="s">
        <v>7</v>
      </c>
      <c r="C30">
        <v>91202373</v>
      </c>
      <c r="D30" s="126">
        <v>0</v>
      </c>
      <c r="E30" s="134"/>
      <c r="F30" s="132" t="s">
        <v>145</v>
      </c>
      <c r="G30" s="134"/>
      <c r="H30" s="127"/>
      <c r="I30" s="132"/>
      <c r="J30" s="132"/>
      <c r="K30" s="133" t="str">
        <f>IF(F30="Accepted",IF(G30="","Add collection date","Complete"),IF(E30="","Enter presentation date",IF(I30="","Add tracking #","Follow up")))</f>
        <v>Enter presentation date</v>
      </c>
    </row>
    <row r="31" spans="1:12" x14ac:dyDescent="0.25">
      <c r="A31" t="s">
        <v>101</v>
      </c>
      <c r="B31" t="s">
        <v>7</v>
      </c>
      <c r="C31">
        <v>91202528</v>
      </c>
      <c r="D31" s="126">
        <v>0</v>
      </c>
      <c r="E31" s="134"/>
      <c r="F31" s="132" t="s">
        <v>145</v>
      </c>
      <c r="G31" s="134"/>
      <c r="H31" s="127"/>
      <c r="I31" s="132"/>
      <c r="J31" s="132"/>
      <c r="K31" s="133" t="str">
        <f>IF(F31="Accepted",IF(G31="","Add collection date","Complete"),IF(E31="","Enter presentation date",IF(I31="","Add tracking #","Follow up")))</f>
        <v>Enter presentation date</v>
      </c>
    </row>
    <row r="32" spans="1:12" x14ac:dyDescent="0.25">
      <c r="A32" t="s">
        <v>103</v>
      </c>
      <c r="B32" t="s">
        <v>51</v>
      </c>
      <c r="C32">
        <v>91219417</v>
      </c>
      <c r="D32" s="126">
        <v>128390</v>
      </c>
      <c r="E32" s="134"/>
      <c r="F32" s="132" t="s">
        <v>145</v>
      </c>
      <c r="G32" s="134"/>
      <c r="H32" s="127"/>
      <c r="I32" s="132"/>
      <c r="J32" s="132"/>
      <c r="K32" s="133" t="str">
        <f>IF(F32="Accepted",IF(G32="","Add collection date","Complete"),IF(E32="","Enter presentation date",IF(I32="","Add tracking #","Follow up")))</f>
        <v>Enter presentation date</v>
      </c>
    </row>
    <row r="33" spans="1:11" x14ac:dyDescent="0.25">
      <c r="A33" t="s">
        <v>103</v>
      </c>
      <c r="B33" t="s">
        <v>51</v>
      </c>
      <c r="C33">
        <v>91219491</v>
      </c>
      <c r="D33" s="126">
        <v>47539.5</v>
      </c>
      <c r="E33" s="134"/>
      <c r="F33" s="132" t="s">
        <v>145</v>
      </c>
      <c r="G33" s="134"/>
      <c r="H33" s="127"/>
      <c r="I33" s="132"/>
      <c r="J33" s="132"/>
      <c r="K33" s="133" t="str">
        <f>IF(F33="Accepted",IF(G33="","Add collection date","Complete"),IF(E33="","Enter presentation date",IF(I33="","Add tracking #","Follow up")))</f>
        <v>Enter presentation date</v>
      </c>
    </row>
    <row r="34" spans="1:11" x14ac:dyDescent="0.25">
      <c r="A34" t="s">
        <v>103</v>
      </c>
      <c r="B34" t="s">
        <v>51</v>
      </c>
      <c r="C34">
        <v>91219571</v>
      </c>
      <c r="D34" s="126">
        <v>37818.199999999997</v>
      </c>
      <c r="E34" s="134"/>
      <c r="F34" s="132" t="s">
        <v>145</v>
      </c>
      <c r="G34" s="134"/>
      <c r="H34" s="127"/>
      <c r="I34" s="132"/>
      <c r="J34" s="132"/>
      <c r="K34" s="133" t="str">
        <f>IF(F34="Accepted",IF(G34="","Add collection date","Complete"),IF(E34="","Enter presentation date",IF(I34="","Add tracking #","Follow up")))</f>
        <v>Enter presentation date</v>
      </c>
    </row>
    <row r="35" spans="1:11" x14ac:dyDescent="0.25">
      <c r="A35" t="s">
        <v>103</v>
      </c>
      <c r="B35" t="s">
        <v>51</v>
      </c>
      <c r="C35">
        <v>91226392</v>
      </c>
      <c r="D35" s="126">
        <v>308687.25</v>
      </c>
      <c r="E35" s="134"/>
      <c r="F35" s="132" t="s">
        <v>145</v>
      </c>
      <c r="G35" s="134"/>
      <c r="H35" s="127"/>
      <c r="I35" s="132"/>
      <c r="J35" s="132"/>
      <c r="K35" s="133" t="str">
        <f>IF(F35="Accepted",IF(G35="","Add collection date","Complete"),IF(E35="","Enter presentation date",IF(I35="","Add tracking #","Follow up")))</f>
        <v>Enter presentation date</v>
      </c>
    </row>
    <row r="36" spans="1:11" x14ac:dyDescent="0.25">
      <c r="A36" t="s">
        <v>103</v>
      </c>
      <c r="B36" t="s">
        <v>51</v>
      </c>
      <c r="C36">
        <v>91228981</v>
      </c>
      <c r="D36" s="126">
        <v>28988.080000000002</v>
      </c>
      <c r="E36" s="134"/>
      <c r="F36" s="132" t="s">
        <v>145</v>
      </c>
      <c r="G36" s="134"/>
      <c r="H36" s="127">
        <v>46201</v>
      </c>
      <c r="I36" s="132"/>
      <c r="J36" s="132"/>
      <c r="K36" s="133" t="str">
        <f>IF(F36="Accepted",IF(G36="","Add collection date","Complete"),IF(E36="","Enter presentation date",IF(I36="","Add tracking #","Follow up")))</f>
        <v>Enter presentation date</v>
      </c>
    </row>
    <row r="37" spans="1:11" x14ac:dyDescent="0.25">
      <c r="A37" t="s">
        <v>103</v>
      </c>
      <c r="B37" t="s">
        <v>51</v>
      </c>
      <c r="C37">
        <v>91226395</v>
      </c>
      <c r="D37" s="126">
        <v>215275.4</v>
      </c>
      <c r="E37" s="134"/>
      <c r="F37" s="132" t="s">
        <v>145</v>
      </c>
      <c r="G37" s="134"/>
      <c r="H37" s="127"/>
      <c r="I37" s="132"/>
      <c r="J37" s="132"/>
      <c r="K37" s="133" t="str">
        <f>IF(F37="Accepted",IF(G37="","Add collection date","Complete"),IF(E37="","Enter presentation date",IF(I37="","Add tracking #","Follow up")))</f>
        <v>Enter presentation date</v>
      </c>
    </row>
    <row r="38" spans="1:11" x14ac:dyDescent="0.25">
      <c r="A38" t="s">
        <v>107</v>
      </c>
      <c r="B38" t="s">
        <v>7</v>
      </c>
      <c r="C38">
        <v>91219680</v>
      </c>
      <c r="D38" s="126">
        <v>105721</v>
      </c>
      <c r="E38" s="134"/>
      <c r="F38" s="132" t="s">
        <v>145</v>
      </c>
      <c r="G38" s="134"/>
      <c r="H38" s="127">
        <v>46301</v>
      </c>
      <c r="I38" s="132"/>
      <c r="J38" s="132"/>
      <c r="K38" s="133" t="str">
        <f>IF(F38="Accepted",IF(G38="","Add collection date","Complete"),IF(E38="","Enter presentation date",IF(I38="","Add tracking #","Follow up")))</f>
        <v>Enter presentation date</v>
      </c>
    </row>
    <row r="39" spans="1:11" x14ac:dyDescent="0.25">
      <c r="A39" t="s">
        <v>107</v>
      </c>
      <c r="B39" t="s">
        <v>7</v>
      </c>
      <c r="C39">
        <v>91219652</v>
      </c>
      <c r="D39" s="126">
        <v>657.72</v>
      </c>
      <c r="E39" s="134"/>
      <c r="F39" s="132" t="s">
        <v>145</v>
      </c>
      <c r="G39" s="134"/>
      <c r="H39" s="127">
        <v>46301</v>
      </c>
      <c r="I39" s="132"/>
      <c r="J39" s="132"/>
      <c r="K39" s="133" t="str">
        <f>IF(F39="Accepted",IF(G39="","Add collection date","Complete"),IF(E39="","Enter presentation date",IF(I39="","Add tracking #","Follow up")))</f>
        <v>Enter presentation date</v>
      </c>
    </row>
    <row r="40" spans="1:11" x14ac:dyDescent="0.25">
      <c r="A40" t="s">
        <v>107</v>
      </c>
      <c r="B40" t="s">
        <v>7</v>
      </c>
      <c r="C40">
        <v>91219676</v>
      </c>
      <c r="D40" s="126">
        <v>33645.72</v>
      </c>
      <c r="E40" s="134"/>
      <c r="F40" s="132" t="s">
        <v>145</v>
      </c>
      <c r="G40" s="134"/>
      <c r="H40" s="127">
        <v>46301</v>
      </c>
      <c r="I40" s="132"/>
      <c r="J40" s="132"/>
      <c r="K40" s="133" t="str">
        <f>IF(F40="Accepted",IF(G40="","Add collection date","Complete"),IF(E40="","Enter presentation date",IF(I40="","Add tracking #","Follow up")))</f>
        <v>Enter presentation date</v>
      </c>
    </row>
    <row r="41" spans="1:11" x14ac:dyDescent="0.25">
      <c r="A41" t="s">
        <v>107</v>
      </c>
      <c r="B41" t="s">
        <v>7</v>
      </c>
      <c r="C41">
        <v>91219677</v>
      </c>
      <c r="D41" s="126">
        <v>11803.26</v>
      </c>
      <c r="E41" s="134"/>
      <c r="F41" s="132" t="s">
        <v>145</v>
      </c>
      <c r="G41" s="134"/>
      <c r="H41" s="127">
        <v>46301</v>
      </c>
      <c r="I41" s="132"/>
      <c r="J41" s="132"/>
      <c r="K41" s="133" t="str">
        <f>IF(F41="Accepted",IF(G41="","Add collection date","Complete"),IF(E41="","Enter presentation date",IF(I41="","Add tracking #","Follow up")))</f>
        <v>Enter presentation date</v>
      </c>
    </row>
    <row r="42" spans="1:11" x14ac:dyDescent="0.25">
      <c r="A42" t="s">
        <v>107</v>
      </c>
      <c r="B42" t="s">
        <v>7</v>
      </c>
      <c r="C42">
        <v>91219678</v>
      </c>
      <c r="D42" s="126">
        <v>29952.18</v>
      </c>
      <c r="E42" s="134"/>
      <c r="F42" s="132" t="s">
        <v>145</v>
      </c>
      <c r="G42" s="134"/>
      <c r="H42" s="127">
        <v>46300</v>
      </c>
      <c r="I42" s="132"/>
      <c r="J42" s="132"/>
      <c r="K42" s="133" t="str">
        <f>IF(F42="Accepted",IF(G42="","Add collection date","Complete"),IF(E42="","Enter presentation date",IF(I42="","Add tracking #","Follow up")))</f>
        <v>Enter presentation date</v>
      </c>
    </row>
    <row r="43" spans="1:11" x14ac:dyDescent="0.25">
      <c r="A43" t="s">
        <v>107</v>
      </c>
      <c r="B43" t="s">
        <v>7</v>
      </c>
      <c r="C43">
        <v>91219681</v>
      </c>
      <c r="D43" s="126">
        <v>24066.720000000001</v>
      </c>
      <c r="E43" s="134"/>
      <c r="F43" s="132" t="s">
        <v>145</v>
      </c>
      <c r="G43" s="134"/>
      <c r="H43" s="127">
        <v>46301</v>
      </c>
      <c r="I43" s="132"/>
      <c r="J43" s="132"/>
      <c r="K43" s="133" t="str">
        <f>IF(F43="Accepted",IF(G43="","Add collection date","Complete"),IF(E43="","Enter presentation date",IF(I43="","Add tracking #","Follow up")))</f>
        <v>Enter presentation date</v>
      </c>
    </row>
    <row r="44" spans="1:11" x14ac:dyDescent="0.25">
      <c r="A44" t="s">
        <v>107</v>
      </c>
      <c r="B44" t="s">
        <v>7</v>
      </c>
      <c r="C44">
        <v>91219690</v>
      </c>
      <c r="D44" s="126">
        <v>11078.72</v>
      </c>
      <c r="E44" s="134"/>
      <c r="F44" s="132" t="s">
        <v>145</v>
      </c>
      <c r="G44" s="134"/>
      <c r="H44" s="127">
        <v>46301</v>
      </c>
      <c r="I44" s="132"/>
      <c r="J44" s="132"/>
      <c r="K44" s="133" t="str">
        <f>IF(F44="Accepted",IF(G44="","Add collection date","Complete"),IF(E44="","Enter presentation date",IF(I44="","Add tracking #","Follow up")))</f>
        <v>Enter presentation date</v>
      </c>
    </row>
    <row r="45" spans="1:11" x14ac:dyDescent="0.25">
      <c r="A45" t="s">
        <v>107</v>
      </c>
      <c r="B45" t="s">
        <v>7</v>
      </c>
      <c r="C45">
        <v>91219898</v>
      </c>
      <c r="D45" s="126">
        <v>218152.89</v>
      </c>
      <c r="E45" s="134"/>
      <c r="F45" s="132" t="s">
        <v>145</v>
      </c>
      <c r="G45" s="134"/>
      <c r="H45" s="127">
        <v>46301</v>
      </c>
      <c r="I45" s="132"/>
      <c r="J45" s="132"/>
      <c r="K45" s="133" t="str">
        <f>IF(F45="Accepted",IF(G45="","Add collection date","Complete"),IF(E45="","Enter presentation date",IF(I45="","Add tracking #","Follow up")))</f>
        <v>Enter presentation date</v>
      </c>
    </row>
    <row r="46" spans="1:11" x14ac:dyDescent="0.25">
      <c r="A46" t="s">
        <v>120</v>
      </c>
      <c r="B46" t="s">
        <v>119</v>
      </c>
      <c r="C46">
        <v>91220291</v>
      </c>
      <c r="D46" s="126">
        <v>45607.32</v>
      </c>
      <c r="E46" s="134"/>
      <c r="F46" s="132" t="s">
        <v>330</v>
      </c>
      <c r="G46" s="134"/>
      <c r="H46" s="127"/>
      <c r="I46" s="132"/>
      <c r="J46" s="132"/>
      <c r="K46" s="133" t="str">
        <f>IF(F46="Accepted",IF(G46="","Add collection date","Complete"),IF(E46="","Enter presentation date",IF(I46="","Add tracking #","Follow up")))</f>
        <v>Add collection date</v>
      </c>
    </row>
    <row r="47" spans="1:11" x14ac:dyDescent="0.25">
      <c r="A47" t="s">
        <v>120</v>
      </c>
      <c r="B47" t="s">
        <v>119</v>
      </c>
      <c r="C47">
        <v>91220476</v>
      </c>
      <c r="D47" s="126">
        <v>394993.25</v>
      </c>
      <c r="E47" s="134"/>
      <c r="F47" s="132" t="s">
        <v>330</v>
      </c>
      <c r="G47" s="134"/>
      <c r="H47" s="127"/>
      <c r="I47" s="132"/>
      <c r="J47" s="132"/>
      <c r="K47" s="133" t="str">
        <f>IF(F47="Accepted",IF(G47="","Add collection date","Complete"),IF(E47="","Enter presentation date",IF(I47="","Add tracking #","Follow up")))</f>
        <v>Add collection date</v>
      </c>
    </row>
    <row r="48" spans="1:11" x14ac:dyDescent="0.25">
      <c r="A48" t="s">
        <v>120</v>
      </c>
      <c r="B48" t="s">
        <v>119</v>
      </c>
      <c r="C48">
        <v>91228956</v>
      </c>
      <c r="D48" s="126">
        <v>107304.56</v>
      </c>
      <c r="E48" s="134"/>
      <c r="F48" s="132" t="s">
        <v>145</v>
      </c>
      <c r="G48" s="134"/>
      <c r="H48" s="127">
        <v>46197</v>
      </c>
      <c r="I48" s="132"/>
      <c r="J48" s="132"/>
      <c r="K48" s="133" t="str">
        <f>IF(F48="Accepted",IF(G48="","Add collection date","Complete"),IF(E48="","Enter presentation date",IF(I48="","Add tracking #","Follow up")))</f>
        <v>Enter presentation date</v>
      </c>
    </row>
    <row r="49" spans="1:11" x14ac:dyDescent="0.25">
      <c r="A49" t="s">
        <v>127</v>
      </c>
      <c r="B49" t="s">
        <v>125</v>
      </c>
      <c r="C49">
        <v>91227418</v>
      </c>
      <c r="D49" s="126">
        <v>148874.85</v>
      </c>
      <c r="E49" s="134"/>
      <c r="F49" s="132" t="s">
        <v>145</v>
      </c>
      <c r="G49" s="134"/>
      <c r="H49" s="127">
        <v>46194</v>
      </c>
      <c r="I49" s="132"/>
      <c r="J49" s="132"/>
      <c r="K49" s="133" t="str">
        <f>IF(F49="Accepted",IF(G49="","Add collection date","Complete"),IF(E49="","Enter presentation date",IF(I49="","Add tracking #","Follow up")))</f>
        <v>Enter presentation date</v>
      </c>
    </row>
    <row r="50" spans="1:11" x14ac:dyDescent="0.25">
      <c r="A50" t="s">
        <v>130</v>
      </c>
      <c r="B50" t="s">
        <v>60</v>
      </c>
      <c r="C50">
        <v>91215163</v>
      </c>
      <c r="D50" s="126">
        <v>591628.64</v>
      </c>
      <c r="E50" s="134"/>
      <c r="F50" s="132" t="s">
        <v>145</v>
      </c>
      <c r="G50" s="134"/>
      <c r="H50" s="127">
        <v>46180</v>
      </c>
      <c r="I50" s="132"/>
      <c r="J50" s="132"/>
      <c r="K50" s="133" t="str">
        <f>IF(F50="Accepted",IF(G50="","Add collection date","Complete"),IF(E50="","Enter presentation date",IF(I50="","Add tracking #","Follow up")))</f>
        <v>Enter presentation date</v>
      </c>
    </row>
    <row r="51" spans="1:11" x14ac:dyDescent="0.25">
      <c r="A51" t="s">
        <v>130</v>
      </c>
      <c r="B51" t="s">
        <v>60</v>
      </c>
      <c r="C51">
        <v>91228106</v>
      </c>
      <c r="D51" s="126">
        <v>161512.23000000001</v>
      </c>
      <c r="E51" s="134"/>
      <c r="F51" s="132" t="s">
        <v>145</v>
      </c>
      <c r="G51" s="134"/>
      <c r="H51" s="127">
        <v>46196</v>
      </c>
      <c r="I51" s="132"/>
      <c r="J51" s="132"/>
      <c r="K51" s="133" t="str">
        <f>IF(F51="Accepted",IF(G51="","Add collection date","Complete"),IF(E51="","Enter presentation date",IF(I51="","Add tracking #","Follow up")))</f>
        <v>Enter presentation date</v>
      </c>
    </row>
    <row r="52" spans="1:11" x14ac:dyDescent="0.25">
      <c r="A52" t="s">
        <v>139</v>
      </c>
      <c r="B52" t="s">
        <v>83</v>
      </c>
      <c r="C52">
        <v>91234848</v>
      </c>
      <c r="D52" s="126">
        <v>31491.87</v>
      </c>
      <c r="E52" s="134"/>
      <c r="F52" s="132" t="s">
        <v>145</v>
      </c>
      <c r="G52" s="134"/>
      <c r="H52" s="127">
        <v>46231</v>
      </c>
      <c r="I52" s="132"/>
      <c r="J52" s="132"/>
      <c r="K52" s="133" t="str">
        <f>IF(F52="Accepted",IF(G52="","Add collection date","Complete"),IF(E52="","Enter presentation date",IF(I52="","Add tracking #","Follow up")))</f>
        <v>Enter presentation date</v>
      </c>
    </row>
    <row r="53" spans="1:11" x14ac:dyDescent="0.25">
      <c r="A53" t="s">
        <v>141</v>
      </c>
      <c r="B53" t="s">
        <v>60</v>
      </c>
      <c r="C53">
        <v>91235049</v>
      </c>
      <c r="D53" s="126">
        <v>299996.18</v>
      </c>
      <c r="E53" s="134"/>
      <c r="F53" s="132" t="s">
        <v>145</v>
      </c>
      <c r="G53" s="134"/>
      <c r="H53" s="127">
        <v>46229</v>
      </c>
      <c r="I53" s="132"/>
      <c r="J53" s="132"/>
      <c r="K53" s="133" t="str">
        <f>IF(F53="Accepted",IF(G53="","Add collection date","Complete"),IF(E53="","Enter presentation date",IF(I53="","Add tracking #","Follow up")))</f>
        <v>Enter presentation date</v>
      </c>
    </row>
    <row r="54" spans="1:11" x14ac:dyDescent="0.25">
      <c r="A54" t="s">
        <v>146</v>
      </c>
      <c r="B54" t="s">
        <v>92</v>
      </c>
      <c r="C54">
        <v>91233757</v>
      </c>
      <c r="D54" s="126">
        <v>209276.4</v>
      </c>
      <c r="E54" s="134"/>
      <c r="F54" s="132" t="s">
        <v>145</v>
      </c>
      <c r="G54" s="134"/>
      <c r="H54" s="127">
        <v>46222</v>
      </c>
      <c r="I54" s="132"/>
      <c r="J54" s="132"/>
      <c r="K54" s="133" t="str">
        <f>IF(F54="Accepted",IF(G54="","Add collection date","Complete"),IF(E54="","Enter presentation date",IF(I54="","Add tracking #","Follow up")))</f>
        <v>Enter presentation date</v>
      </c>
    </row>
    <row r="55" spans="1:11" x14ac:dyDescent="0.25">
      <c r="A55" t="s">
        <v>150</v>
      </c>
      <c r="B55" t="s">
        <v>72</v>
      </c>
      <c r="C55">
        <v>91235061</v>
      </c>
      <c r="D55" s="126">
        <v>580964.27</v>
      </c>
      <c r="E55" s="134"/>
      <c r="F55" s="132" t="s">
        <v>145</v>
      </c>
      <c r="G55" s="134"/>
      <c r="H55" s="127">
        <v>46250</v>
      </c>
      <c r="I55" s="132"/>
      <c r="J55" s="132"/>
      <c r="K55" s="133" t="str">
        <f>IF(F55="Accepted",IF(G55="","Add collection date","Complete"),IF(E55="","Enter presentation date",IF(I55="","Add tracking #","Follow up")))</f>
        <v>Enter presentation date</v>
      </c>
    </row>
    <row r="56" spans="1:11" x14ac:dyDescent="0.25">
      <c r="A56" t="s">
        <v>150</v>
      </c>
      <c r="B56" t="s">
        <v>72</v>
      </c>
      <c r="C56">
        <v>91235062</v>
      </c>
      <c r="D56" s="126">
        <v>87185.66</v>
      </c>
      <c r="E56" s="134"/>
      <c r="F56" s="132" t="s">
        <v>145</v>
      </c>
      <c r="G56" s="134"/>
      <c r="H56" s="127">
        <v>46250</v>
      </c>
      <c r="I56" s="132"/>
      <c r="J56" s="132"/>
      <c r="K56" s="133" t="str">
        <f>IF(F56="Accepted",IF(G56="","Add collection date","Complete"),IF(E56="","Enter presentation date",IF(I56="","Add tracking #","Follow up")))</f>
        <v>Enter presentation date</v>
      </c>
    </row>
    <row r="57" spans="1:11" x14ac:dyDescent="0.25">
      <c r="A57" t="s">
        <v>150</v>
      </c>
      <c r="B57" t="s">
        <v>72</v>
      </c>
      <c r="C57">
        <v>91237519</v>
      </c>
      <c r="D57" s="126">
        <v>99846.88</v>
      </c>
      <c r="E57" s="134"/>
      <c r="F57" s="132" t="s">
        <v>145</v>
      </c>
      <c r="G57" s="134"/>
      <c r="H57" s="127">
        <v>46981</v>
      </c>
      <c r="I57" s="132"/>
      <c r="J57" s="132"/>
      <c r="K57" s="133" t="str">
        <f>IF(F57="Accepted",IF(G57="","Add collection date","Complete"),IF(E57="","Enter presentation date",IF(I57="","Add tracking #","Follow up")))</f>
        <v>Enter presentation date</v>
      </c>
    </row>
    <row r="58" spans="1:11" x14ac:dyDescent="0.25">
      <c r="A58" t="s">
        <v>146</v>
      </c>
      <c r="B58" t="s">
        <v>92</v>
      </c>
      <c r="C58">
        <v>91238969</v>
      </c>
      <c r="D58" s="126">
        <v>50528.63</v>
      </c>
      <c r="E58" s="134"/>
      <c r="F58" s="132" t="s">
        <v>145</v>
      </c>
      <c r="G58" s="134"/>
      <c r="H58" s="127">
        <v>46253</v>
      </c>
      <c r="I58" s="132"/>
      <c r="J58" s="132"/>
      <c r="K58" s="133" t="str">
        <f>IF(F58="Accepted",IF(G58="","Add collection date","Complete"),IF(E58="","Enter presentation date",IF(I58="","Add tracking #","Follow up")))</f>
        <v>Enter presentation date</v>
      </c>
    </row>
    <row r="59" spans="1:11" x14ac:dyDescent="0.25">
      <c r="A59" t="s">
        <v>158</v>
      </c>
      <c r="B59" t="s">
        <v>51</v>
      </c>
      <c r="C59">
        <v>91238356</v>
      </c>
      <c r="D59" s="126">
        <v>178547.65</v>
      </c>
      <c r="E59" s="134"/>
      <c r="F59" s="132" t="s">
        <v>145</v>
      </c>
      <c r="G59" s="134"/>
      <c r="H59" s="127">
        <v>46252</v>
      </c>
      <c r="I59" s="132"/>
      <c r="J59" s="132"/>
      <c r="K59" s="133" t="str">
        <f>IF(F59="Accepted",IF(G59="","Add collection date","Complete"),IF(E59="","Enter presentation date",IF(I59="","Add tracking #","Follow up")))</f>
        <v>Enter presentation date</v>
      </c>
    </row>
    <row r="60" spans="1:11" x14ac:dyDescent="0.25">
      <c r="A60" t="s">
        <v>158</v>
      </c>
      <c r="B60" t="s">
        <v>51</v>
      </c>
      <c r="C60">
        <v>91238372</v>
      </c>
      <c r="D60" s="126">
        <v>22315.52</v>
      </c>
      <c r="E60" s="134"/>
      <c r="F60" s="132" t="s">
        <v>145</v>
      </c>
      <c r="G60" s="134"/>
      <c r="H60" s="127">
        <v>46252</v>
      </c>
      <c r="I60" s="132"/>
      <c r="J60" s="132"/>
      <c r="K60" s="133" t="str">
        <f>IF(F60="Accepted",IF(G60="","Add collection date","Complete"),IF(E60="","Enter presentation date",IF(I60="","Add tracking #","Follow up")))</f>
        <v>Enter presentation date</v>
      </c>
    </row>
    <row r="61" spans="1:11" x14ac:dyDescent="0.25">
      <c r="A61" t="s">
        <v>158</v>
      </c>
      <c r="B61" t="s">
        <v>51</v>
      </c>
      <c r="C61">
        <v>91238375</v>
      </c>
      <c r="D61" s="126">
        <v>366574.1</v>
      </c>
      <c r="E61" s="134"/>
      <c r="F61" s="132" t="s">
        <v>145</v>
      </c>
      <c r="G61" s="134"/>
      <c r="H61" s="127">
        <v>46252</v>
      </c>
      <c r="I61" s="132"/>
      <c r="J61" s="132"/>
      <c r="K61" s="133" t="str">
        <f>IF(F61="Accepted",IF(G61="","Add collection date","Complete"),IF(E61="","Enter presentation date",IF(I61="","Add tracking #","Follow up")))</f>
        <v>Enter presentation date</v>
      </c>
    </row>
    <row r="62" spans="1:11" x14ac:dyDescent="0.25">
      <c r="A62" t="s">
        <v>158</v>
      </c>
      <c r="B62" t="s">
        <v>51</v>
      </c>
      <c r="C62">
        <v>91238790</v>
      </c>
      <c r="D62" s="126">
        <v>639205.89</v>
      </c>
      <c r="E62" s="134"/>
      <c r="F62" s="132" t="s">
        <v>145</v>
      </c>
      <c r="G62" s="134"/>
      <c r="H62" s="127">
        <v>46252</v>
      </c>
      <c r="I62" s="132"/>
      <c r="J62" s="132"/>
      <c r="K62" s="133" t="str">
        <f>IF(F62="Accepted",IF(G62="","Add collection date","Complete"),IF(E62="","Enter presentation date",IF(I62="","Add tracking #","Follow up")))</f>
        <v>Enter presentation date</v>
      </c>
    </row>
    <row r="64" spans="1:11" x14ac:dyDescent="0.25">
      <c r="A64" t="s">
        <v>365</v>
      </c>
      <c r="D64" s="126">
        <f>SUM(D3:D62)</f>
        <v>11186701.75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2E75B6"/>
  </sheetPr>
  <dimension ref="A1:J26"/>
  <sheetViews>
    <sheetView zoomScaleNormal="100" workbookViewId="0">
      <pane ySplit="2" topLeftCell="A3" activePane="bottomLeft" state="frozen"/>
      <selection pane="bottomLeft" activeCell="G9" sqref="G9"/>
    </sheetView>
  </sheetViews>
  <sheetFormatPr defaultColWidth="8.7109375" defaultRowHeight="15" x14ac:dyDescent="0.25"/>
  <cols>
    <col min="1" max="1" width="7.42578125" bestFit="1" customWidth="1"/>
    <col min="2" max="2" width="27.28515625" bestFit="1" customWidth="1"/>
    <col min="3" max="3" width="15.28515625" bestFit="1" customWidth="1"/>
    <col min="4" max="4" width="18.85546875" bestFit="1" customWidth="1"/>
    <col min="5" max="5" width="17.28515625" bestFit="1" customWidth="1"/>
    <col min="6" max="6" width="9.28515625" bestFit="1" customWidth="1"/>
    <col min="7" max="7" width="14.7109375" bestFit="1" customWidth="1"/>
    <col min="8" max="8" width="11.85546875" bestFit="1" customWidth="1"/>
    <col min="9" max="9" width="9.7109375" bestFit="1" customWidth="1"/>
    <col min="10" max="10" width="16.140625" bestFit="1" customWidth="1"/>
  </cols>
  <sheetData>
    <row r="1" spans="1:10" ht="18.75" x14ac:dyDescent="0.3">
      <c r="A1" s="123" t="s">
        <v>319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x14ac:dyDescent="0.25">
      <c r="A2" s="125" t="s">
        <v>5</v>
      </c>
      <c r="B2" s="125" t="s">
        <v>320</v>
      </c>
      <c r="C2" s="125" t="s">
        <v>321</v>
      </c>
      <c r="D2" s="125" t="s">
        <v>322</v>
      </c>
      <c r="E2" s="125" t="s">
        <v>323</v>
      </c>
      <c r="F2" s="125" t="s">
        <v>35</v>
      </c>
      <c r="G2" s="125" t="s">
        <v>324</v>
      </c>
      <c r="H2" s="125" t="s">
        <v>325</v>
      </c>
      <c r="I2" s="125" t="s">
        <v>326</v>
      </c>
      <c r="J2" s="125" t="s">
        <v>327</v>
      </c>
    </row>
    <row r="3" spans="1:10" x14ac:dyDescent="0.25">
      <c r="A3" s="135" t="s">
        <v>328</v>
      </c>
      <c r="B3" t="s">
        <v>329</v>
      </c>
      <c r="C3">
        <v>91187251</v>
      </c>
      <c r="D3" s="126">
        <v>93458.11</v>
      </c>
      <c r="E3" s="127"/>
      <c r="F3" s="128" t="s">
        <v>330</v>
      </c>
      <c r="G3" s="136"/>
      <c r="H3" s="137">
        <v>46233</v>
      </c>
    </row>
    <row r="4" spans="1:10" x14ac:dyDescent="0.25">
      <c r="A4" s="135" t="s">
        <v>331</v>
      </c>
      <c r="B4" t="s">
        <v>329</v>
      </c>
      <c r="C4">
        <v>91189924</v>
      </c>
      <c r="D4" s="126">
        <v>57415.67</v>
      </c>
      <c r="E4" s="127"/>
      <c r="F4" s="128" t="s">
        <v>330</v>
      </c>
      <c r="G4" s="136"/>
      <c r="H4" s="137">
        <v>46238</v>
      </c>
    </row>
    <row r="5" spans="1:10" x14ac:dyDescent="0.25">
      <c r="A5" s="135" t="s">
        <v>331</v>
      </c>
      <c r="B5" t="s">
        <v>329</v>
      </c>
      <c r="C5">
        <v>91186097</v>
      </c>
      <c r="D5" s="126">
        <v>155195.44</v>
      </c>
      <c r="E5" s="127"/>
      <c r="F5" s="128" t="s">
        <v>330</v>
      </c>
      <c r="G5" s="136"/>
      <c r="H5" s="137">
        <v>46238</v>
      </c>
    </row>
    <row r="6" spans="1:10" x14ac:dyDescent="0.25">
      <c r="A6" s="135" t="s">
        <v>331</v>
      </c>
      <c r="B6" t="s">
        <v>329</v>
      </c>
      <c r="C6">
        <v>91189919</v>
      </c>
      <c r="D6" s="126">
        <v>1993.6</v>
      </c>
      <c r="E6" s="127"/>
      <c r="F6" s="128" t="s">
        <v>330</v>
      </c>
      <c r="G6" s="136"/>
      <c r="H6" s="137">
        <v>46238</v>
      </c>
    </row>
    <row r="7" spans="1:10" x14ac:dyDescent="0.25">
      <c r="A7" s="135" t="s">
        <v>331</v>
      </c>
      <c r="B7" t="s">
        <v>329</v>
      </c>
      <c r="C7">
        <v>91189901</v>
      </c>
      <c r="D7" s="126">
        <v>18008.96</v>
      </c>
      <c r="E7" s="127"/>
      <c r="F7" s="128" t="s">
        <v>145</v>
      </c>
      <c r="G7" s="136"/>
      <c r="H7" s="136"/>
      <c r="J7" t="s">
        <v>332</v>
      </c>
    </row>
    <row r="8" spans="1:10" x14ac:dyDescent="0.25">
      <c r="A8" s="135" t="s">
        <v>333</v>
      </c>
      <c r="B8" t="s">
        <v>329</v>
      </c>
      <c r="C8">
        <v>91195705</v>
      </c>
      <c r="D8" s="126">
        <v>355645.85</v>
      </c>
      <c r="E8" s="127"/>
      <c r="F8" s="128" t="s">
        <v>330</v>
      </c>
      <c r="G8" s="136"/>
      <c r="H8" s="137">
        <v>46259</v>
      </c>
    </row>
    <row r="9" spans="1:10" x14ac:dyDescent="0.25">
      <c r="A9" s="135" t="s">
        <v>333</v>
      </c>
      <c r="B9" t="s">
        <v>329</v>
      </c>
      <c r="C9">
        <v>91196156</v>
      </c>
      <c r="D9" s="126">
        <v>59100</v>
      </c>
      <c r="E9" s="127"/>
      <c r="F9" s="128" t="s">
        <v>330</v>
      </c>
      <c r="G9" s="137">
        <v>46259</v>
      </c>
      <c r="H9" s="136"/>
    </row>
    <row r="10" spans="1:10" x14ac:dyDescent="0.25">
      <c r="A10" s="135" t="s">
        <v>334</v>
      </c>
      <c r="B10" t="s">
        <v>329</v>
      </c>
      <c r="C10">
        <v>91197426</v>
      </c>
      <c r="D10" s="126">
        <v>172096.92</v>
      </c>
      <c r="E10" s="127"/>
      <c r="F10" s="128" t="s">
        <v>145</v>
      </c>
      <c r="G10" s="136"/>
      <c r="H10" s="136"/>
    </row>
    <row r="11" spans="1:10" x14ac:dyDescent="0.25">
      <c r="A11" s="135" t="s">
        <v>335</v>
      </c>
      <c r="B11" t="s">
        <v>336</v>
      </c>
      <c r="C11">
        <v>91200826</v>
      </c>
      <c r="D11" s="126">
        <v>650451</v>
      </c>
      <c r="E11" s="127"/>
      <c r="F11" s="128" t="s">
        <v>145</v>
      </c>
      <c r="G11" s="136"/>
      <c r="H11" s="136"/>
    </row>
    <row r="12" spans="1:10" x14ac:dyDescent="0.25">
      <c r="A12" s="135" t="s">
        <v>335</v>
      </c>
      <c r="B12" t="s">
        <v>336</v>
      </c>
      <c r="C12">
        <v>91206415</v>
      </c>
      <c r="D12" s="126">
        <v>100351.3</v>
      </c>
      <c r="E12" s="127"/>
      <c r="F12" s="128" t="s">
        <v>145</v>
      </c>
      <c r="G12" s="136"/>
      <c r="H12" s="136"/>
    </row>
    <row r="13" spans="1:10" x14ac:dyDescent="0.25">
      <c r="A13" s="135" t="s">
        <v>337</v>
      </c>
      <c r="B13" t="s">
        <v>338</v>
      </c>
      <c r="C13">
        <v>91199933</v>
      </c>
      <c r="D13" s="126">
        <v>200806.15</v>
      </c>
      <c r="E13" s="127"/>
      <c r="F13" s="128" t="s">
        <v>145</v>
      </c>
      <c r="G13" s="136"/>
      <c r="H13" s="136"/>
    </row>
    <row r="14" spans="1:10" x14ac:dyDescent="0.25">
      <c r="A14" s="135" t="s">
        <v>339</v>
      </c>
      <c r="B14" t="s">
        <v>336</v>
      </c>
      <c r="C14">
        <v>91206417</v>
      </c>
      <c r="D14" s="126">
        <v>374620.58</v>
      </c>
      <c r="E14" s="127"/>
      <c r="F14" s="128" t="s">
        <v>145</v>
      </c>
      <c r="G14" s="136"/>
      <c r="H14" s="136"/>
    </row>
    <row r="15" spans="1:10" x14ac:dyDescent="0.25">
      <c r="A15" s="135" t="s">
        <v>339</v>
      </c>
      <c r="B15" t="s">
        <v>336</v>
      </c>
      <c r="C15">
        <v>91213842</v>
      </c>
      <c r="D15" s="126">
        <v>286840.8</v>
      </c>
      <c r="E15" s="127"/>
      <c r="F15" s="128" t="s">
        <v>145</v>
      </c>
      <c r="G15" s="136"/>
      <c r="H15" s="136"/>
    </row>
    <row r="16" spans="1:10" x14ac:dyDescent="0.25">
      <c r="A16" s="135" t="s">
        <v>339</v>
      </c>
      <c r="B16" t="s">
        <v>336</v>
      </c>
      <c r="C16">
        <v>91213847</v>
      </c>
      <c r="D16" s="126">
        <v>39033.9</v>
      </c>
      <c r="E16" s="127"/>
      <c r="F16" s="128" t="s">
        <v>145</v>
      </c>
      <c r="G16" s="136"/>
      <c r="H16" s="136"/>
    </row>
    <row r="17" spans="1:8" x14ac:dyDescent="0.25">
      <c r="A17" s="135" t="s">
        <v>340</v>
      </c>
      <c r="B17" t="s">
        <v>341</v>
      </c>
      <c r="C17">
        <v>91206606</v>
      </c>
      <c r="D17" s="126">
        <v>438144</v>
      </c>
      <c r="E17" s="127"/>
      <c r="F17" s="128" t="s">
        <v>330</v>
      </c>
      <c r="G17" s="136"/>
      <c r="H17" s="137">
        <v>46304</v>
      </c>
    </row>
    <row r="18" spans="1:8" x14ac:dyDescent="0.25">
      <c r="A18" s="135" t="s">
        <v>340</v>
      </c>
      <c r="B18" t="s">
        <v>341</v>
      </c>
      <c r="C18">
        <v>91206608</v>
      </c>
      <c r="D18" s="126">
        <v>310587.01</v>
      </c>
      <c r="E18" s="127"/>
      <c r="F18" s="128" t="s">
        <v>330</v>
      </c>
      <c r="G18" s="136"/>
      <c r="H18" s="137">
        <v>46304</v>
      </c>
    </row>
    <row r="19" spans="1:8" x14ac:dyDescent="0.25">
      <c r="A19" s="135" t="s">
        <v>340</v>
      </c>
      <c r="B19" t="s">
        <v>341</v>
      </c>
      <c r="C19">
        <v>91206609</v>
      </c>
      <c r="D19" s="126">
        <v>37391.839999999997</v>
      </c>
      <c r="E19" s="127"/>
      <c r="F19" s="128" t="s">
        <v>330</v>
      </c>
      <c r="G19" s="136"/>
      <c r="H19" s="137">
        <v>46304</v>
      </c>
    </row>
    <row r="20" spans="1:8" x14ac:dyDescent="0.25">
      <c r="A20" s="135" t="s">
        <v>340</v>
      </c>
      <c r="B20" t="s">
        <v>341</v>
      </c>
      <c r="C20">
        <v>91213275</v>
      </c>
      <c r="D20" s="126">
        <v>84657.9</v>
      </c>
      <c r="E20" s="127"/>
      <c r="F20" s="128" t="s">
        <v>145</v>
      </c>
      <c r="G20" s="136"/>
      <c r="H20" s="136"/>
    </row>
    <row r="21" spans="1:8" x14ac:dyDescent="0.25">
      <c r="A21" s="135" t="s">
        <v>340</v>
      </c>
      <c r="B21" t="s">
        <v>341</v>
      </c>
      <c r="C21">
        <v>91213277</v>
      </c>
      <c r="D21" s="126">
        <v>592683.1</v>
      </c>
      <c r="E21" s="127"/>
      <c r="F21" s="128" t="s">
        <v>145</v>
      </c>
      <c r="G21" s="136"/>
      <c r="H21" s="136"/>
    </row>
    <row r="22" spans="1:8" x14ac:dyDescent="0.25">
      <c r="A22" s="135" t="s">
        <v>342</v>
      </c>
      <c r="B22" t="s">
        <v>343</v>
      </c>
      <c r="C22">
        <v>91206748</v>
      </c>
      <c r="D22" s="126">
        <v>46729</v>
      </c>
      <c r="E22" s="127"/>
      <c r="F22" s="128" t="s">
        <v>145</v>
      </c>
      <c r="G22" s="136"/>
      <c r="H22" s="136"/>
    </row>
    <row r="23" spans="1:8" x14ac:dyDescent="0.25">
      <c r="A23" s="135" t="s">
        <v>344</v>
      </c>
      <c r="B23" t="s">
        <v>345</v>
      </c>
      <c r="C23">
        <v>91205843</v>
      </c>
      <c r="D23" s="126">
        <v>389958.34</v>
      </c>
      <c r="E23" s="127"/>
      <c r="F23" s="128" t="s">
        <v>145</v>
      </c>
      <c r="G23" s="136"/>
      <c r="H23" s="136"/>
    </row>
    <row r="24" spans="1:8" x14ac:dyDescent="0.25">
      <c r="A24" s="135" t="s">
        <v>344</v>
      </c>
      <c r="B24" t="s">
        <v>345</v>
      </c>
      <c r="C24">
        <v>91214870</v>
      </c>
      <c r="D24" s="126">
        <v>85423.4</v>
      </c>
      <c r="E24" s="127"/>
      <c r="F24" s="128" t="s">
        <v>145</v>
      </c>
      <c r="G24" s="136"/>
      <c r="H24" s="136"/>
    </row>
    <row r="25" spans="1:8" ht="15.75" thickBot="1" x14ac:dyDescent="0.3">
      <c r="A25" s="129" t="s">
        <v>346</v>
      </c>
      <c r="B25" s="129"/>
      <c r="C25" s="129"/>
      <c r="D25" s="130">
        <f>SUM(D3:D24)</f>
        <v>4550592.8699999992</v>
      </c>
    </row>
    <row r="26" spans="1:8" ht="15.75" thickTop="1" x14ac:dyDescent="0.25"/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7ea30c0c-b121-4a38-9cf3-3b67eeaa63c4}" enabled="0" method="" siteId="{7ea30c0c-b121-4a38-9cf3-3b67eeaa6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LC Export Breakdown</vt:lpstr>
      <vt:lpstr>Cust Data</vt:lpstr>
      <vt:lpstr>Banks Data</vt:lpstr>
      <vt:lpstr>Payment Term</vt:lpstr>
      <vt:lpstr>Invoice Process Tracker</vt:lpstr>
      <vt:lpstr>Invoice 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Abdulrahman Alzahrani</cp:lastModifiedBy>
  <cp:revision>0</cp:revision>
  <dcterms:created xsi:type="dcterms:W3CDTF">2026-05-07T09:41:04Z</dcterms:created>
  <dcterms:modified xsi:type="dcterms:W3CDTF">2026-09-03T12:50:29Z</dcterms:modified>
  <cp:category/>
  <cp:contentStatus/>
</cp:coreProperties>
</file>
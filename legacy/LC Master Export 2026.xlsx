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straindustrial-my.sharepoint.com/personal/abdulelah_alsalem_tabukpharmaceuticals_com/Documents/Treasury - TPMC/4. LCs &amp; ICs &amp; LGs/LC Export/"/>
    </mc:Choice>
  </mc:AlternateContent>
  <xr:revisionPtr revIDLastSave="2111" documentId="8_{F4193164-8B8D-42C4-BF93-DCCFF3864A77}" xr6:coauthVersionLast="47" xr6:coauthVersionMax="47" xr10:uidLastSave="{4B7699AC-BEF1-488A-B0C6-6231FC223309}"/>
  <bookViews>
    <workbookView xWindow="-120" yWindow="-120" windowWidth="29040" windowHeight="15720" tabRatio="500" xr2:uid="{00000000-000D-0000-FFFF-FFFF00000000}"/>
  </bookViews>
  <sheets>
    <sheet name="LC Tracker" sheetId="1" r:id="rId1"/>
    <sheet name="Certificate of Analysis" sheetId="11" r:id="rId2"/>
    <sheet name="Summary" sheetId="3" r:id="rId3"/>
    <sheet name="lc summary" sheetId="5" r:id="rId4"/>
    <sheet name="Cust Data" sheetId="6" r:id="rId5"/>
    <sheet name="Banks Data" sheetId="7" r:id="rId6"/>
    <sheet name="Payment Term" sheetId="8" r:id="rId7"/>
    <sheet name="cover Letter print" sheetId="10" r:id="rId8"/>
    <sheet name="cover Letter print (2)" sheetId="12" r:id="rId9"/>
    <sheet name="cover Letter print (3)" sheetId="13" r:id="rId10"/>
    <sheet name="Invoice Detail" sheetId="2" state="hidden" r:id="rId11"/>
  </sheets>
  <definedNames>
    <definedName name="_xlnm._FilterDatabase" localSheetId="5" hidden="1">'Banks Data'!$B$2:$C$2</definedName>
    <definedName name="_xlnm._FilterDatabase" localSheetId="6" hidden="1">'Payment Term'!$B$3:$C$3</definedName>
    <definedName name="_xlnm.Print_Area" localSheetId="1">'Certificate of Analysis'!$A$3:$O$19</definedName>
    <definedName name="_xlnm.Print_Area" localSheetId="7">'cover Letter print'!$A$1:$S$38</definedName>
    <definedName name="_xlnm.Print_Area" localSheetId="8">'cover Letter print (2)'!$A$1:$S$34</definedName>
    <definedName name="_xlnm.Print_Area" localSheetId="9">'cover Letter print (3)'!$A$1:$S$38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2" i="1" l="1"/>
  <c r="D22" i="1"/>
  <c r="H9" i="5"/>
  <c r="H10" i="5"/>
  <c r="G5" i="5"/>
  <c r="G4" i="5"/>
  <c r="C5" i="5"/>
  <c r="C4" i="5"/>
  <c r="D7" i="5"/>
  <c r="H7" i="5" s="1"/>
  <c r="D6" i="5"/>
  <c r="H6" i="5" s="1"/>
  <c r="D5" i="5"/>
  <c r="D11" i="5" s="1"/>
  <c r="H11" i="5" s="1"/>
  <c r="G25" i="13"/>
  <c r="H13" i="13"/>
  <c r="C4" i="13"/>
  <c r="G31" i="13" s="1"/>
  <c r="Q3" i="13"/>
  <c r="Q2" i="13"/>
  <c r="B10" i="13" s="1"/>
  <c r="D2" i="13"/>
  <c r="G25" i="10"/>
  <c r="H13" i="12"/>
  <c r="C4" i="12"/>
  <c r="Q3" i="12"/>
  <c r="Q2" i="12"/>
  <c r="D2" i="12"/>
  <c r="H13" i="10"/>
  <c r="C4" i="10"/>
  <c r="Q3" i="10"/>
  <c r="Q2" i="10"/>
  <c r="CW21" i="1"/>
  <c r="CW20" i="1"/>
  <c r="CW19" i="1"/>
  <c r="G11" i="11"/>
  <c r="G9" i="11"/>
  <c r="B8" i="11"/>
  <c r="D2" i="10"/>
  <c r="H5" i="5" l="1"/>
  <c r="G27" i="12"/>
  <c r="B10" i="12"/>
  <c r="G31" i="10"/>
  <c r="G10" i="11"/>
  <c r="B10" i="10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B23" i="3" l="1"/>
  <c r="C23" i="3"/>
  <c r="D23" i="3"/>
  <c r="E23" i="3"/>
  <c r="F23" i="3" s="1"/>
  <c r="B24" i="3"/>
  <c r="C24" i="3"/>
  <c r="D24" i="3"/>
  <c r="E24" i="3"/>
  <c r="F24" i="3" s="1"/>
  <c r="B20" i="3"/>
  <c r="C20" i="3"/>
  <c r="D20" i="3"/>
  <c r="E20" i="3"/>
  <c r="F20" i="3" s="1"/>
  <c r="B21" i="3"/>
  <c r="C21" i="3"/>
  <c r="D21" i="3"/>
  <c r="E21" i="3"/>
  <c r="F21" i="3" s="1"/>
  <c r="B22" i="3"/>
  <c r="C22" i="3"/>
  <c r="D22" i="3"/>
  <c r="E22" i="3"/>
  <c r="F22" i="3" s="1"/>
  <c r="D8" i="5" l="1"/>
  <c r="H8" i="5" s="1"/>
  <c r="CW18" i="1"/>
  <c r="CW17" i="1"/>
  <c r="CW3" i="1"/>
  <c r="CW16" i="1"/>
  <c r="CW15" i="1"/>
  <c r="CW14" i="1"/>
  <c r="CW13" i="1"/>
  <c r="CW12" i="1"/>
  <c r="CW11" i="1"/>
  <c r="CW10" i="1"/>
  <c r="CW9" i="1"/>
  <c r="CW8" i="1"/>
  <c r="CW7" i="1"/>
  <c r="CW6" i="1"/>
  <c r="CW5" i="1"/>
  <c r="CW4" i="1"/>
  <c r="K4" i="3"/>
  <c r="H4" i="3"/>
  <c r="E19" i="3"/>
  <c r="F19" i="3" s="1"/>
  <c r="D19" i="3"/>
  <c r="C19" i="3"/>
  <c r="B19" i="3"/>
  <c r="E18" i="3"/>
  <c r="F18" i="3" s="1"/>
  <c r="D18" i="3"/>
  <c r="C18" i="3"/>
  <c r="B18" i="3"/>
  <c r="E17" i="3"/>
  <c r="F17" i="3" s="1"/>
  <c r="D17" i="3"/>
  <c r="C17" i="3"/>
  <c r="B17" i="3"/>
  <c r="E16" i="3"/>
  <c r="F16" i="3" s="1"/>
  <c r="D16" i="3"/>
  <c r="C16" i="3"/>
  <c r="B16" i="3"/>
  <c r="E14" i="3"/>
  <c r="F14" i="3" s="1"/>
  <c r="D14" i="3"/>
  <c r="C14" i="3"/>
  <c r="B14" i="3"/>
  <c r="E13" i="3"/>
  <c r="F13" i="3" s="1"/>
  <c r="D13" i="3"/>
  <c r="C13" i="3"/>
  <c r="B13" i="3"/>
  <c r="E12" i="3"/>
  <c r="F12" i="3" s="1"/>
  <c r="D12" i="3"/>
  <c r="C12" i="3"/>
  <c r="B12" i="3"/>
  <c r="E11" i="3"/>
  <c r="F11" i="3" s="1"/>
  <c r="D11" i="3"/>
  <c r="C11" i="3"/>
  <c r="B11" i="3"/>
  <c r="E10" i="3"/>
  <c r="F10" i="3" s="1"/>
  <c r="D10" i="3"/>
  <c r="C10" i="3"/>
  <c r="B10" i="3"/>
  <c r="E9" i="3"/>
  <c r="F9" i="3" s="1"/>
  <c r="D9" i="3"/>
  <c r="C9" i="3"/>
  <c r="B9" i="3"/>
  <c r="E8" i="3"/>
  <c r="F8" i="3" s="1"/>
  <c r="D8" i="3"/>
  <c r="C8" i="3"/>
  <c r="B8" i="3"/>
  <c r="E7" i="3"/>
  <c r="F7" i="3" s="1"/>
  <c r="D7" i="3"/>
  <c r="C7" i="3"/>
  <c r="B7" i="3"/>
  <c r="E6" i="3"/>
  <c r="F6" i="3" s="1"/>
  <c r="D6" i="3"/>
  <c r="C6" i="3"/>
  <c r="B6" i="3"/>
  <c r="C5" i="3"/>
  <c r="B5" i="3"/>
  <c r="D25" i="2"/>
  <c r="D15" i="3"/>
  <c r="E15" i="3"/>
  <c r="F15" i="3" s="1"/>
  <c r="D5" i="3"/>
  <c r="E5" i="3"/>
  <c r="O23" i="1"/>
  <c r="E25" i="3" l="1"/>
  <c r="F5" i="3"/>
  <c r="CW23" i="1"/>
  <c r="D25" i="3"/>
  <c r="J4" i="3"/>
  <c r="I4" i="3"/>
</calcChain>
</file>

<file path=xl/sharedStrings.xml><?xml version="1.0" encoding="utf-8"?>
<sst xmlns="http://schemas.openxmlformats.org/spreadsheetml/2006/main" count="904" uniqueCount="461">
  <si>
    <t>LETTER OF CREDIT TRACKER — 2026</t>
  </si>
  <si>
    <t>Customer</t>
  </si>
  <si>
    <t>Country</t>
  </si>
  <si>
    <t>Customer #</t>
  </si>
  <si>
    <t>Payment Term</t>
  </si>
  <si>
    <t>Advising Bank</t>
  </si>
  <si>
    <t>Advising Bank #</t>
  </si>
  <si>
    <t>Issuance Date</t>
  </si>
  <si>
    <t>Expiry Date</t>
  </si>
  <si>
    <t>Latest Date O/S</t>
  </si>
  <si>
    <t>Sight / Deferred</t>
  </si>
  <si>
    <t>CCY</t>
  </si>
  <si>
    <t>LC Value (USD)</t>
  </si>
  <si>
    <t>Inv Number</t>
  </si>
  <si>
    <t>Value</t>
  </si>
  <si>
    <t>Pres. Date</t>
  </si>
  <si>
    <t>Status</t>
  </si>
  <si>
    <t>Coll. Date</t>
  </si>
  <si>
    <t>Due Date</t>
  </si>
  <si>
    <t>Tracking #</t>
  </si>
  <si>
    <t>1/2026</t>
  </si>
  <si>
    <t>AL HASHAR PHARMACY LLC</t>
  </si>
  <si>
    <t>26/BMLCU/40464</t>
  </si>
  <si>
    <t>2026/ILC/3378</t>
  </si>
  <si>
    <t>24-Oct-2025</t>
  </si>
  <si>
    <t>31-Dec-2025</t>
  </si>
  <si>
    <t>Deferred</t>
  </si>
  <si>
    <t>USD</t>
  </si>
  <si>
    <t>Accepted</t>
  </si>
  <si>
    <t>30-Jul-2026</t>
  </si>
  <si>
    <t>2/2026</t>
  </si>
  <si>
    <t>26/BMLCU/40579</t>
  </si>
  <si>
    <t>2026/ILC/3381</t>
  </si>
  <si>
    <t>28-Jan-2026</t>
  </si>
  <si>
    <t>15-Feb-2026</t>
  </si>
  <si>
    <t>04-Aug-2026</t>
  </si>
  <si>
    <t>3/2026</t>
  </si>
  <si>
    <t>26/BMLCU/40801</t>
  </si>
  <si>
    <t>2026/ILC/3388</t>
  </si>
  <si>
    <t>17-Feb-2026</t>
  </si>
  <si>
    <t>15-Mar-2026</t>
  </si>
  <si>
    <t>25-Aug-2026</t>
  </si>
  <si>
    <t>91196156</t>
  </si>
  <si>
    <t>4/2026</t>
  </si>
  <si>
    <t>26/BMLCU/40829</t>
  </si>
  <si>
    <t>2026/ILC/3393</t>
  </si>
  <si>
    <t>22-Feb-2026</t>
  </si>
  <si>
    <t>91197426</t>
  </si>
  <si>
    <t>5/2026</t>
  </si>
  <si>
    <t>Al Hikma FZCO</t>
  </si>
  <si>
    <t>OLCD001260139</t>
  </si>
  <si>
    <t>TF2605000007JEDX</t>
  </si>
  <si>
    <t>18-Feb-2026</t>
  </si>
  <si>
    <t>28-Apr-2026</t>
  </si>
  <si>
    <t>91200826</t>
  </si>
  <si>
    <t>91206415</t>
  </si>
  <si>
    <t>6/2026</t>
  </si>
  <si>
    <t>SMAT FOR MEDICAL SUPPLIES</t>
  </si>
  <si>
    <t>Libya</t>
  </si>
  <si>
    <t>JUMHOURIA BANK</t>
  </si>
  <si>
    <t>777LC09260770017</t>
  </si>
  <si>
    <t>60 Calendar Days After Presentation of Complied Documents</t>
  </si>
  <si>
    <t>ELC26BH00427</t>
  </si>
  <si>
    <t>18-Mar-2026</t>
  </si>
  <si>
    <t>06-May-2026</t>
  </si>
  <si>
    <t>91199933</t>
  </si>
  <si>
    <t>7/2026</t>
  </si>
  <si>
    <t>OLCD001260145</t>
  </si>
  <si>
    <t>TF2608300001JEDX</t>
  </si>
  <si>
    <t>27-Apr-2026</t>
  </si>
  <si>
    <t>91206417</t>
  </si>
  <si>
    <t>91213842</t>
  </si>
  <si>
    <t>91213847</t>
  </si>
  <si>
    <t>26/BMLCU/41031</t>
  </si>
  <si>
    <t>2026/ILC/3405</t>
  </si>
  <si>
    <t>9/2026</t>
  </si>
  <si>
    <t>ZENITH PHARMA</t>
  </si>
  <si>
    <t>BANQUE POPULAIRE DE</t>
  </si>
  <si>
    <t>TF2606933771</t>
  </si>
  <si>
    <t>EXWC020935</t>
  </si>
  <si>
    <t>10-Mar-2026</t>
  </si>
  <si>
    <t>30-Oct-2026</t>
  </si>
  <si>
    <t>91206606</t>
  </si>
  <si>
    <t>09-Oct-2026</t>
  </si>
  <si>
    <t>91206608</t>
  </si>
  <si>
    <t>91206609</t>
  </si>
  <si>
    <t>91213275</t>
  </si>
  <si>
    <t>91213277</t>
  </si>
  <si>
    <t>10/2026</t>
  </si>
  <si>
    <t>Lanamed Trading Plc</t>
  </si>
  <si>
    <t>Ethiopia</t>
  </si>
  <si>
    <t>QNB</t>
  </si>
  <si>
    <t>ELC/2026/00441QA</t>
  </si>
  <si>
    <t>At Sight</t>
  </si>
  <si>
    <t>AB1000ILC0074126</t>
  </si>
  <si>
    <t>24-Mar-2026</t>
  </si>
  <si>
    <t>01-Jun-2026</t>
  </si>
  <si>
    <t>91206748</t>
  </si>
  <si>
    <t>11/2026</t>
  </si>
  <si>
    <t>Kare</t>
  </si>
  <si>
    <t>ELC/2026/00478QA</t>
  </si>
  <si>
    <t>GADAABANK</t>
  </si>
  <si>
    <t>GDAIBDIMP0083/26</t>
  </si>
  <si>
    <t>25-Mar-2026</t>
  </si>
  <si>
    <t>91205843</t>
  </si>
  <si>
    <t>91214870</t>
  </si>
  <si>
    <t>GRAND TOTAL</t>
  </si>
  <si>
    <t>INVOICE DETAIL — FILL-IN REGISTER</t>
  </si>
  <si>
    <t>LC #</t>
  </si>
  <si>
    <t>Invoice Number</t>
  </si>
  <si>
    <t>Invoice Value (USD)</t>
  </si>
  <si>
    <t>Presentation Date</t>
  </si>
  <si>
    <t>Collection Date</t>
  </si>
  <si>
    <t>Notes</t>
  </si>
  <si>
    <t>Pending</t>
  </si>
  <si>
    <t>Not yet accepted</t>
  </si>
  <si>
    <t>TOTAL</t>
  </si>
  <si>
    <t>LC PORTFOLIO SUMMARY</t>
  </si>
  <si>
    <t>Total LC Value</t>
  </si>
  <si>
    <t>Total Invoiced</t>
  </si>
  <si>
    <t>Total Remaining</t>
  </si>
  <si>
    <t># of LCs</t>
  </si>
  <si>
    <t>LC BREAKDOWN</t>
  </si>
  <si>
    <t>Remaining (USD)</t>
  </si>
  <si>
    <t>2026#</t>
  </si>
  <si>
    <t>Total</t>
  </si>
  <si>
    <t>Inv Number2</t>
  </si>
  <si>
    <t>Value3</t>
  </si>
  <si>
    <t>Pres. Date4</t>
  </si>
  <si>
    <t>Status5</t>
  </si>
  <si>
    <t>Coll. Date6</t>
  </si>
  <si>
    <t>Due Date7</t>
  </si>
  <si>
    <t>Tracking #8</t>
  </si>
  <si>
    <t>Inv Number9</t>
  </si>
  <si>
    <t>Value10</t>
  </si>
  <si>
    <t>Pres. Date11</t>
  </si>
  <si>
    <t>Status12</t>
  </si>
  <si>
    <t>Coll. Date13</t>
  </si>
  <si>
    <t>Due Date14</t>
  </si>
  <si>
    <t>Tracking #15</t>
  </si>
  <si>
    <t>Inv Number16</t>
  </si>
  <si>
    <t>Value17</t>
  </si>
  <si>
    <t>Pres. Date18</t>
  </si>
  <si>
    <t>Status19</t>
  </si>
  <si>
    <t>Coll. Date20</t>
  </si>
  <si>
    <t>Due Date21</t>
  </si>
  <si>
    <t>Tracking #22</t>
  </si>
  <si>
    <t>Inv Number23</t>
  </si>
  <si>
    <t>Value24</t>
  </si>
  <si>
    <t>Pres. Date25</t>
  </si>
  <si>
    <t>Status26</t>
  </si>
  <si>
    <t>Coll. Date27</t>
  </si>
  <si>
    <t>Due Date28</t>
  </si>
  <si>
    <t>Tracking #29</t>
  </si>
  <si>
    <t>Inv Number30</t>
  </si>
  <si>
    <t>Value31</t>
  </si>
  <si>
    <t>Pres. Date32</t>
  </si>
  <si>
    <t>Status33</t>
  </si>
  <si>
    <t>Coll. Date34</t>
  </si>
  <si>
    <t>Due Date35</t>
  </si>
  <si>
    <t>Tracking #36</t>
  </si>
  <si>
    <t>Inv Number37</t>
  </si>
  <si>
    <t>Value38</t>
  </si>
  <si>
    <t>Pres. Date39</t>
  </si>
  <si>
    <t>Status40</t>
  </si>
  <si>
    <t>Coll. Date41</t>
  </si>
  <si>
    <t>Due Date42</t>
  </si>
  <si>
    <t>Tracking #43</t>
  </si>
  <si>
    <t>Inv Number44</t>
  </si>
  <si>
    <t>Value45</t>
  </si>
  <si>
    <t>Pres. Date46</t>
  </si>
  <si>
    <t>Status47</t>
  </si>
  <si>
    <t>Coll. Date48</t>
  </si>
  <si>
    <t>Due Date49</t>
  </si>
  <si>
    <t>Tracking #50</t>
  </si>
  <si>
    <t>Inv Number51</t>
  </si>
  <si>
    <t>Value52</t>
  </si>
  <si>
    <t>Pres. Date53</t>
  </si>
  <si>
    <t>Status54</t>
  </si>
  <si>
    <t>Coll. Date55</t>
  </si>
  <si>
    <t>Due Date56</t>
  </si>
  <si>
    <t>Tracking #57</t>
  </si>
  <si>
    <t>Inv Number58</t>
  </si>
  <si>
    <t>Value59</t>
  </si>
  <si>
    <t>Pres. Date60</t>
  </si>
  <si>
    <t>Status61</t>
  </si>
  <si>
    <t>Coll. Date62</t>
  </si>
  <si>
    <t>Due Date63</t>
  </si>
  <si>
    <t>Tracking #64</t>
  </si>
  <si>
    <t>Inv Number65</t>
  </si>
  <si>
    <t>Value66</t>
  </si>
  <si>
    <t>Pres. Date67</t>
  </si>
  <si>
    <t>Status68</t>
  </si>
  <si>
    <t>Coll. Date69</t>
  </si>
  <si>
    <t>Due Date70</t>
  </si>
  <si>
    <t>Tracking #71</t>
  </si>
  <si>
    <t>Inv Number72</t>
  </si>
  <si>
    <t>Value73</t>
  </si>
  <si>
    <t>Pres. Date74</t>
  </si>
  <si>
    <t>Status75</t>
  </si>
  <si>
    <t>Coll. Date76</t>
  </si>
  <si>
    <t>Due Date77</t>
  </si>
  <si>
    <t>Tracking #78</t>
  </si>
  <si>
    <t>26/BMLCU/41157</t>
  </si>
  <si>
    <t>Issuing Bank2</t>
  </si>
  <si>
    <t>Issuing Bank #2</t>
  </si>
  <si>
    <t xml:space="preserve">2026/ILC/3407 </t>
  </si>
  <si>
    <t>2026/ILC/3417</t>
  </si>
  <si>
    <t>26/BMLCU/41321</t>
  </si>
  <si>
    <t>TF2612500004JEDX</t>
  </si>
  <si>
    <t>Total Presented</t>
  </si>
  <si>
    <t>OLCD001260151</t>
  </si>
  <si>
    <t>RIYAD BANK</t>
  </si>
  <si>
    <t>OLCT260054</t>
  </si>
  <si>
    <t>BANK DHOFAR</t>
  </si>
  <si>
    <t>latest Date OS</t>
  </si>
  <si>
    <t xml:space="preserve">Remaining Balance </t>
  </si>
  <si>
    <t>Remaining Balance after released New Order</t>
  </si>
  <si>
    <t>ENBD</t>
  </si>
  <si>
    <t>AWAELCU260068</t>
  </si>
  <si>
    <t>Expiry date &amp; place Saudi Arabia</t>
  </si>
  <si>
    <t>BSF</t>
  </si>
  <si>
    <t>AB1000ILC0132126</t>
  </si>
  <si>
    <t>Sight</t>
  </si>
  <si>
    <t>ELC26BH00858</t>
  </si>
  <si>
    <t>ILC310/159/26</t>
  </si>
  <si>
    <t>ALWAHA BANK</t>
  </si>
  <si>
    <t>ELC26BH00911</t>
  </si>
  <si>
    <t>777LC09261550003</t>
  </si>
  <si>
    <t>We will release</t>
  </si>
  <si>
    <t>Advance Pharma Co</t>
  </si>
  <si>
    <t>Aman Health Care Trade</t>
  </si>
  <si>
    <t>First Scientific Bureau.</t>
  </si>
  <si>
    <t>Injaz Scientific Bureau</t>
  </si>
  <si>
    <t>Kare Pharmaceutical Plc</t>
  </si>
  <si>
    <t>Lanamed Pharmaceuticals Import</t>
  </si>
  <si>
    <t>Pharmatic For Trading &amp; Investments</t>
  </si>
  <si>
    <t>Tabuk Trading</t>
  </si>
  <si>
    <t>Alphamed</t>
  </si>
  <si>
    <t>Gb-pharm</t>
  </si>
  <si>
    <t>Geo-pharm</t>
  </si>
  <si>
    <t>Vecopharm</t>
  </si>
  <si>
    <t>Al - Mojil Drug Co.</t>
  </si>
  <si>
    <t>Al Dammam Pharma Trading Co. Ltd.</t>
  </si>
  <si>
    <t>Ali Abdul Wahab Son's &amp; Comp. (sgh)</t>
  </si>
  <si>
    <t>Ali Abdulwahab Al-mutawa Commercial</t>
  </si>
  <si>
    <t>Amba Pharmaceuticals Plc</t>
  </si>
  <si>
    <t>At Pharma Spa</t>
  </si>
  <si>
    <t>Behzad Pharmacy</t>
  </si>
  <si>
    <t>Dawakum Llc</t>
  </si>
  <si>
    <t>Dawakum Llc (sgh)</t>
  </si>
  <si>
    <t>Dejen G/meskel</t>
  </si>
  <si>
    <t>Get-as International Plc</t>
  </si>
  <si>
    <t>Globicare Pharmaceuticals.co.ltd</t>
  </si>
  <si>
    <t>Green International Medical Co. Wll</t>
  </si>
  <si>
    <t>Hamad Town Pharmacy</t>
  </si>
  <si>
    <t>Ldm(lab.de Diagnos. Maghrebin)</t>
  </si>
  <si>
    <t>Mersaco  S.a.l.</t>
  </si>
  <si>
    <t>Modern Pharmaceutical Llc</t>
  </si>
  <si>
    <t>Munir Sukhtian Group Company</t>
  </si>
  <si>
    <t>Nas Pharma Co. Ltd.</t>
  </si>
  <si>
    <t>Samt For Medical Supplies</t>
  </si>
  <si>
    <t>Sheker Pharmaceutical And Medical</t>
  </si>
  <si>
    <t>Zenith Pharma</t>
  </si>
  <si>
    <t>Afaq Int. Marketing &amp; Import Free Zone</t>
  </si>
  <si>
    <t>Ebn Sina Medical</t>
  </si>
  <si>
    <t>Kimadia</t>
  </si>
  <si>
    <t>Ufq Kurdistan Company General Trading</t>
  </si>
  <si>
    <t>Negadras General Trading Company Plc</t>
  </si>
  <si>
    <t>Pharmacie Centrale Des Hopitaux</t>
  </si>
  <si>
    <t>Tabuk Pharmaceuticals Co. Ltd</t>
  </si>
  <si>
    <t>Tracon Trading Plc</t>
  </si>
  <si>
    <t>Saja Allail Company</t>
  </si>
  <si>
    <t>Afghan Tolo</t>
  </si>
  <si>
    <t>Al Arz Scientific Bureau</t>
  </si>
  <si>
    <t>Al Manhal Company</t>
  </si>
  <si>
    <t>Alphamed Shj Est</t>
  </si>
  <si>
    <t>Meti Trading Plc</t>
  </si>
  <si>
    <t>Mullege Plc</t>
  </si>
  <si>
    <t>Averroes Pharmaceuticals Sdn. Bhd.</t>
  </si>
  <si>
    <t>Sheikh Khalifa Medical City</t>
  </si>
  <si>
    <t>The Director, Central Medical Stores Adm</t>
  </si>
  <si>
    <t>Customer Name</t>
  </si>
  <si>
    <t>Customer Code</t>
  </si>
  <si>
    <t>#</t>
  </si>
  <si>
    <t xml:space="preserve">UAE </t>
  </si>
  <si>
    <t xml:space="preserve">Iraq </t>
  </si>
  <si>
    <t xml:space="preserve">Oman </t>
  </si>
  <si>
    <t xml:space="preserve">Kuwait </t>
  </si>
  <si>
    <t xml:space="preserve">Jordan </t>
  </si>
  <si>
    <t>Kuwait</t>
  </si>
  <si>
    <t xml:space="preserve">Bahrain </t>
  </si>
  <si>
    <t xml:space="preserve">Qatar </t>
  </si>
  <si>
    <t xml:space="preserve">Yemen </t>
  </si>
  <si>
    <t xml:space="preserve">Lebanon </t>
  </si>
  <si>
    <t xml:space="preserve">Morocco </t>
  </si>
  <si>
    <t xml:space="preserve">Algeria </t>
  </si>
  <si>
    <t xml:space="preserve">Sudan </t>
  </si>
  <si>
    <t>Tabuk Factory</t>
  </si>
  <si>
    <t xml:space="preserve">Libya </t>
  </si>
  <si>
    <t xml:space="preserve">Egypt </t>
  </si>
  <si>
    <t xml:space="preserve">Export Head </t>
  </si>
  <si>
    <t xml:space="preserve">France </t>
  </si>
  <si>
    <t xml:space="preserve">Kazakhstan </t>
  </si>
  <si>
    <t xml:space="preserve">Tunisia </t>
  </si>
  <si>
    <t xml:space="preserve">Malaysia </t>
  </si>
  <si>
    <t xml:space="preserve">Poland </t>
  </si>
  <si>
    <t xml:space="preserve">Russia </t>
  </si>
  <si>
    <t xml:space="preserve">Sweden </t>
  </si>
  <si>
    <t>France</t>
  </si>
  <si>
    <t>Al Hashar Pharmacy (sgh)</t>
  </si>
  <si>
    <t>Roots Pharmaceutical Company</t>
  </si>
  <si>
    <t>Issac General Trading&amp; Contracting Co</t>
  </si>
  <si>
    <t>Wellcare Trading Wll</t>
  </si>
  <si>
    <t>Al - Mojil Drug Co. (sgh)</t>
  </si>
  <si>
    <t>Al Hashar Pharmacy Llc</t>
  </si>
  <si>
    <t>Al Hikma Fzco Iraq</t>
  </si>
  <si>
    <t>Al Hikma Fzco Yemen</t>
  </si>
  <si>
    <t>Al Kanz Company</t>
  </si>
  <si>
    <t>Behzad Pharmacy (sgh)</t>
  </si>
  <si>
    <t>Directorate Of Royal Medical Services</t>
  </si>
  <si>
    <t>Hamad Town Pharmacy (sgh )</t>
  </si>
  <si>
    <t>Ibn Sina Pharmacy Llc-oman</t>
  </si>
  <si>
    <t>Biopharm Distribution Spa</t>
  </si>
  <si>
    <t>Al Badeel Al Tiby Company</t>
  </si>
  <si>
    <t>Beker General Business Pl</t>
  </si>
  <si>
    <t>El Hakeem For Importing Pharmaceutical</t>
  </si>
  <si>
    <t>Eurl Societe Tabuk Algerie-fg</t>
  </si>
  <si>
    <t>Tabuk Pharmaceutical Man-egypt</t>
  </si>
  <si>
    <t>Pharmaoverseas Trading &amp; Distribution Of</t>
  </si>
  <si>
    <t>Agri Gates General Trading L.l.c</t>
  </si>
  <si>
    <t>Elkendi Pharmaceutical Mfg Co.</t>
  </si>
  <si>
    <t>Al Adeeb</t>
  </si>
  <si>
    <t>Al Tafa'ol Trading Est.(sgh)</t>
  </si>
  <si>
    <t>Alphamed Co Abu Dhabi Ltd Llc   </t>
  </si>
  <si>
    <t>Al-tafa'ol Trading Est.</t>
  </si>
  <si>
    <t>Alyaa Group Of Pharmacies</t>
  </si>
  <si>
    <t>Hospital Central Lar(hca)(ins)</t>
  </si>
  <si>
    <t>Hospital Militaire Reg.(ins.)</t>
  </si>
  <si>
    <t>Laboratoires Salem</t>
  </si>
  <si>
    <t>Central Bank Of Jordan</t>
  </si>
  <si>
    <t>Novapharm Trading</t>
  </si>
  <si>
    <t>Dat International Trading P.l.c.</t>
  </si>
  <si>
    <t>Pharmacie Centrale Des Hopitaux (pch)</t>
  </si>
  <si>
    <t>Dubai Police General H.q.</t>
  </si>
  <si>
    <t>Sarl Groupement Pharma. Europeen</t>
  </si>
  <si>
    <t>Sarl Pharmethic</t>
  </si>
  <si>
    <t>Sas Company</t>
  </si>
  <si>
    <t>Elshifa Phama.industries Co.</t>
  </si>
  <si>
    <t>Etab International Medical Plc</t>
  </si>
  <si>
    <t>Expert Scientific Bureau</t>
  </si>
  <si>
    <t>Tabuk Algeria Customer</t>
  </si>
  <si>
    <t>Ghq Directorate Of Royal Medical Service</t>
  </si>
  <si>
    <t>Hamad Medical Corporation</t>
  </si>
  <si>
    <t>Hesma Pharma.</t>
  </si>
  <si>
    <t>Theramaf   Sarl</t>
  </si>
  <si>
    <t>Al Ansar Marketing (amc)</t>
  </si>
  <si>
    <t>Arrow</t>
  </si>
  <si>
    <t>Eg Labo</t>
  </si>
  <si>
    <t>Pan Pahrma</t>
  </si>
  <si>
    <t>Lifepharma Fze</t>
  </si>
  <si>
    <t>Maskati Pharmacy Co. W.l.l</t>
  </si>
  <si>
    <t>Altes Pharm Ltd</t>
  </si>
  <si>
    <t>Medi-pro Suarl</t>
  </si>
  <si>
    <t>Ministry Of Health (sgh) Kuwait</t>
  </si>
  <si>
    <t>Ministry Of Health And Prevention Dubai</t>
  </si>
  <si>
    <t>Munir Sukhtian Co. Ltd</t>
  </si>
  <si>
    <t>Kfk Medservice Plus Ltd.</t>
  </si>
  <si>
    <t>Komba-pharm "ltd"</t>
  </si>
  <si>
    <t>Pharmacie Centrale De Tunisie</t>
  </si>
  <si>
    <t>Shahdi Ltd.</t>
  </si>
  <si>
    <t>Rama</t>
  </si>
  <si>
    <t>Droguerie Mercury S.a.l</t>
  </si>
  <si>
    <t>Centrala Farmaceuty. Cefarm</t>
  </si>
  <si>
    <t>Ranbaxy Laboratories Limited</t>
  </si>
  <si>
    <t>Antula Health Care Ab</t>
  </si>
  <si>
    <t>Evolan Pharma Ab</t>
  </si>
  <si>
    <t>Société Interpharma</t>
  </si>
  <si>
    <t>Meda - Ab</t>
  </si>
  <si>
    <t>Tabuk South Sudan</t>
  </si>
  <si>
    <t>Abu Amin Group For Trade</t>
  </si>
  <si>
    <t>Ufq Kurdistan Company</t>
  </si>
  <si>
    <t>Bilquis Drug Store (yemen).</t>
  </si>
  <si>
    <t>Zemera Trading Plc</t>
  </si>
  <si>
    <t>Zydus France S.a.s</t>
  </si>
  <si>
    <t>Unicare Medical</t>
  </si>
  <si>
    <t>ADIB</t>
  </si>
  <si>
    <t>ANB</t>
  </si>
  <si>
    <t>FAB</t>
  </si>
  <si>
    <t>GIB</t>
  </si>
  <si>
    <t>NBI</t>
  </si>
  <si>
    <t>SAB</t>
  </si>
  <si>
    <t>SNB</t>
  </si>
  <si>
    <t>our</t>
  </si>
  <si>
    <t>there</t>
  </si>
  <si>
    <t xml:space="preserve">ARAB BANK </t>
  </si>
  <si>
    <t>RAJHI BANK</t>
  </si>
  <si>
    <t>BANK OF AFRICA</t>
  </si>
  <si>
    <t>BANK MUSCAT SA</t>
  </si>
  <si>
    <t>AWASH BANK</t>
  </si>
  <si>
    <t>BANK MUSCAT OMAN</t>
  </si>
  <si>
    <t>INT. DEV. BANK</t>
  </si>
  <si>
    <t>ABC</t>
  </si>
  <si>
    <t>BILAD</t>
  </si>
  <si>
    <t>INMA</t>
  </si>
  <si>
    <t>SA Banks</t>
  </si>
  <si>
    <t>Global Banks</t>
  </si>
  <si>
    <t>180 Days From TCN</t>
  </si>
  <si>
    <t>60 Calendar Days After Presentation Of Complied Documents</t>
  </si>
  <si>
    <t>90 Days From Dn</t>
  </si>
  <si>
    <t>180 Days From Shipment Beneficiary Draft</t>
  </si>
  <si>
    <t>180 Days From Shipment</t>
  </si>
  <si>
    <t>ENSALA26000150</t>
  </si>
  <si>
    <t>2026/ILC/3432</t>
  </si>
  <si>
    <t>Tabuk Pharmaceuticals Manufacturing Company</t>
  </si>
  <si>
    <t>Trade Operations Centre, Head Office</t>
  </si>
  <si>
    <r>
      <t xml:space="preserve">Subject: </t>
    </r>
    <r>
      <rPr>
        <b/>
        <sz val="11"/>
        <color theme="1"/>
        <rFont val="Arial"/>
        <family val="2"/>
      </rPr>
      <t>Submission of Original Documents</t>
    </r>
  </si>
  <si>
    <r>
      <t>Dear</t>
    </r>
    <r>
      <rPr>
        <sz val="11"/>
        <color theme="1"/>
        <rFont val="Aptos"/>
        <family val="2"/>
      </rPr>
      <t>s</t>
    </r>
    <r>
      <rPr>
        <sz val="10"/>
        <color theme="1"/>
        <rFont val="Arial"/>
        <family val="2"/>
      </rPr>
      <t>,</t>
    </r>
  </si>
  <si>
    <t>:</t>
  </si>
  <si>
    <t>Invoice Number(s)</t>
  </si>
  <si>
    <t>Document Description</t>
  </si>
  <si>
    <t>Original</t>
  </si>
  <si>
    <t>Copy</t>
  </si>
  <si>
    <t>Commercial Invoice</t>
  </si>
  <si>
    <t>-</t>
  </si>
  <si>
    <t>Certificate of Origin</t>
  </si>
  <si>
    <t>1 x 2</t>
  </si>
  <si>
    <t>Packing List</t>
  </si>
  <si>
    <t>3 x 2</t>
  </si>
  <si>
    <t>Copy of L/C</t>
  </si>
  <si>
    <t>Amount (Figures)</t>
  </si>
  <si>
    <t>Amount (Words)</t>
  </si>
  <si>
    <t>Currency</t>
  </si>
  <si>
    <t>Upon receipt of funds from the Issuing Bank, kindly credit the proceeds to our account as follows:</t>
  </si>
  <si>
    <t>Beneficiary Bank</t>
  </si>
  <si>
    <t>IBAN/Account No.</t>
  </si>
  <si>
    <r>
      <t xml:space="preserve">Please ensure the documents are fully compliant; </t>
    </r>
    <r>
      <rPr>
        <b/>
        <sz val="11"/>
        <color theme="1"/>
        <rFont val="Aptos"/>
        <family val="2"/>
      </rPr>
      <t>hold the documents</t>
    </r>
    <r>
      <rPr>
        <sz val="11"/>
        <color theme="1"/>
        <rFont val="Aptos"/>
        <family val="2"/>
      </rPr>
      <t xml:space="preserve"> and notify us immediately if any </t>
    </r>
    <r>
      <rPr>
        <b/>
        <sz val="11"/>
        <color theme="1"/>
        <rFont val="Aptos"/>
        <family val="2"/>
      </rPr>
      <t>discrepancies</t>
    </r>
    <r>
      <rPr>
        <sz val="11"/>
        <color theme="1"/>
        <rFont val="Aptos"/>
        <family val="2"/>
      </rPr>
      <t xml:space="preserve"> are identified.</t>
    </r>
  </si>
  <si>
    <t>LC No.</t>
  </si>
  <si>
    <t>Our Ref.</t>
  </si>
  <si>
    <t>Air Way Bill</t>
  </si>
  <si>
    <t>Freight Charges</t>
  </si>
  <si>
    <t>Certificate of Analysis</t>
  </si>
  <si>
    <t>Date:</t>
  </si>
  <si>
    <t>To:</t>
  </si>
  <si>
    <t>Sincerely,</t>
  </si>
  <si>
    <t>Customer Name:</t>
  </si>
  <si>
    <t>LC No:</t>
  </si>
  <si>
    <t>Invoice No:</t>
  </si>
  <si>
    <t>HS Code:</t>
  </si>
  <si>
    <t>TIN Number:</t>
  </si>
  <si>
    <t>0000009646</t>
  </si>
  <si>
    <t>SA47 7600 0000 1005 0063 1002</t>
  </si>
  <si>
    <t>TCN</t>
  </si>
  <si>
    <t>four hundred thirty-five thousand seventy-eight and 21/100</t>
  </si>
  <si>
    <t>435078/21</t>
  </si>
  <si>
    <t>ELCCB26001530DPR001</t>
  </si>
  <si>
    <t>New inoices</t>
  </si>
  <si>
    <t>New inoices# 91226395 &amp; 91226392</t>
  </si>
  <si>
    <t>We released# 91219571, 91219491, 91219417</t>
  </si>
  <si>
    <t>OLCT260073</t>
  </si>
  <si>
    <t>JXP7000344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</si>
</sst>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,##0.00;\(#,##0.00\);\-"/>
    <numFmt numFmtId="165" formatCode="[$-409]d\-mmm\-yyyy;@"/>
    <numFmt numFmtId="166" formatCode="[$-409]dd\-mmm\-yy;@"/>
    <numFmt numFmtId="167" formatCode="[$-409]d\-mmm\-yy;@"/>
    <numFmt numFmtId="168" formatCode="[$-409]mmmm\ d\,\ yyyy;@"/>
  </numFmts>
  <fonts count="44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1F3864"/>
      <name val="Arial"/>
      <family val="2"/>
    </font>
    <font>
      <b/>
      <sz val="8"/>
      <color rgb="FF1F3864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9"/>
      <color rgb="FF375623"/>
      <name val="Arial"/>
      <family val="2"/>
    </font>
    <font>
      <b/>
      <sz val="10"/>
      <color rgb="FF1F3864"/>
      <name val="Arial"/>
      <family val="2"/>
    </font>
    <font>
      <b/>
      <sz val="13"/>
      <color rgb="FFFFFFFF"/>
      <name val="Arial"/>
      <family val="2"/>
    </font>
    <font>
      <b/>
      <sz val="9"/>
      <color rgb="FF7F6000"/>
      <name val="Arial"/>
      <family val="2"/>
    </font>
    <font>
      <b/>
      <sz val="12"/>
      <color rgb="FF1F3864"/>
      <name val="Arial"/>
      <family val="2"/>
    </font>
    <font>
      <b/>
      <sz val="12"/>
      <color rgb="FF2E75B6"/>
      <name val="Arial"/>
      <family val="2"/>
    </font>
    <font>
      <b/>
      <sz val="12"/>
      <color rgb="FFC00000"/>
      <name val="Arial"/>
      <family val="2"/>
    </font>
    <font>
      <b/>
      <sz val="12"/>
      <color rgb="FF595959"/>
      <name val="Arial"/>
      <family val="2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sz val="8"/>
      <name val="Calibri"/>
      <family val="2"/>
      <charset val="1"/>
    </font>
    <font>
      <sz val="11"/>
      <color theme="1"/>
      <name val="Calibri"/>
      <family val="2"/>
      <charset val="1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FFFF00"/>
      <name val="Calibri"/>
      <family val="2"/>
    </font>
    <font>
      <b/>
      <sz val="11"/>
      <color theme="1"/>
      <name val="Calibri"/>
      <family val="2"/>
    </font>
    <font>
      <sz val="8"/>
      <color rgb="FF000000"/>
      <name val="Arial"/>
      <family val="2"/>
    </font>
    <font>
      <b/>
      <sz val="10"/>
      <color theme="0"/>
      <name val="Aptos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rgb="FF1F3864"/>
      <name val="Arial"/>
      <family val="2"/>
    </font>
    <font>
      <b/>
      <sz val="11"/>
      <color theme="1"/>
      <name val="Arial"/>
      <family val="2"/>
    </font>
    <font>
      <sz val="11"/>
      <color theme="1"/>
      <name val="Aptos"/>
      <family val="2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sz val="9"/>
      <color theme="1"/>
      <name val="Arial"/>
      <family val="2"/>
    </font>
    <font>
      <b/>
      <sz val="11"/>
      <color theme="1"/>
      <name val="Aptos"/>
      <family val="2"/>
    </font>
    <font>
      <b/>
      <sz val="20"/>
      <color rgb="FF1F3864"/>
      <name val="Arial"/>
      <family val="2"/>
    </font>
    <font>
      <sz val="12"/>
      <color rgb="FF1F3864"/>
      <name val="Arial"/>
      <family val="2"/>
    </font>
    <font>
      <b/>
      <sz val="12"/>
      <name val="Arial"/>
      <family val="2"/>
    </font>
    <font>
      <sz val="12"/>
      <color theme="1"/>
      <name val="Calibri"/>
      <family val="2"/>
      <charset val="1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i/>
      <sz val="12"/>
      <color rgb="FF1F3864"/>
      <name val="Arial"/>
      <family val="2"/>
    </font>
    <font>
      <b/>
      <sz val="24"/>
      <color rgb="FF1F3864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FCE4D6"/>
      </patternFill>
    </fill>
    <fill>
      <patternFill patternType="solid">
        <fgColor rgb="FFBDD7EE"/>
        <bgColor rgb="FFB8CCE4"/>
      </patternFill>
    </fill>
    <fill>
      <patternFill patternType="solid">
        <fgColor rgb="FFEBF3FB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C00000"/>
        <bgColor rgb="FF800000"/>
      </patternFill>
    </fill>
    <fill>
      <patternFill patternType="solid">
        <fgColor rgb="FF595959"/>
        <bgColor rgb="FF375623"/>
      </patternFill>
    </fill>
    <fill>
      <patternFill patternType="solid">
        <fgColor rgb="FFF2F2F2"/>
        <bgColor rgb="FFEBF3FB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A5C9E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F00"/>
        <bgColor rgb="FFF2F2F2"/>
      </patternFill>
    </fill>
  </fills>
  <borders count="5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8CCE4"/>
      </left>
      <right/>
      <top style="thin">
        <color rgb="FFB8CCE4"/>
      </top>
      <bottom style="thin">
        <color rgb="FFB8CCE4"/>
      </bottom>
      <diagonal/>
    </border>
    <border>
      <left/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medium">
        <color indexed="64"/>
      </left>
      <right/>
      <top/>
      <bottom style="thin">
        <color rgb="FFB8CCE4"/>
      </bottom>
      <diagonal/>
    </border>
    <border>
      <left style="medium">
        <color indexed="6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B8CCE4"/>
      </left>
      <right style="medium">
        <color indexed="64"/>
      </right>
      <top style="thin">
        <color rgb="FFB8CCE4"/>
      </top>
      <bottom style="thin">
        <color rgb="FFB8CCE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8CCE4"/>
      </left>
      <right style="thin">
        <color rgb="FFB8CCE4"/>
      </right>
      <top/>
      <bottom style="thin">
        <color rgb="FFB8CCE4"/>
      </bottom>
      <diagonal/>
    </border>
    <border>
      <left style="thin">
        <color rgb="FFB8CCE4"/>
      </left>
      <right/>
      <top/>
      <bottom style="thin">
        <color rgb="FFB8CCE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rgb="FFB8CCE4"/>
      </right>
      <top/>
      <bottom style="thin">
        <color rgb="FFB8CCE4"/>
      </bottom>
      <diagonal/>
    </border>
    <border>
      <left style="medium">
        <color indexed="64"/>
      </left>
      <right/>
      <top style="thin">
        <color rgb="FFB8CCE4"/>
      </top>
      <bottom style="thin">
        <color rgb="FFB8CCE4"/>
      </bottom>
      <diagonal/>
    </border>
    <border>
      <left style="medium">
        <color indexed="64"/>
      </left>
      <right style="thin">
        <color rgb="FFB8CCE4"/>
      </right>
      <top/>
      <bottom style="thin">
        <color rgb="FFB8CCE4"/>
      </bottom>
      <diagonal/>
    </border>
    <border>
      <left style="thin">
        <color rgb="FFB8CCE4"/>
      </left>
      <right style="medium">
        <color indexed="64"/>
      </right>
      <top/>
      <bottom style="thin">
        <color rgb="FFB8CCE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hair">
        <color theme="1"/>
      </top>
      <bottom style="hair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1F3864"/>
      </bottom>
      <diagonal/>
    </border>
    <border>
      <left style="medium">
        <color indexed="64"/>
      </left>
      <right/>
      <top style="thin">
        <color rgb="FFB8CCE4"/>
      </top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/>
      <diagonal/>
    </border>
    <border>
      <left style="thin">
        <color rgb="FFB8CCE4"/>
      </left>
      <right style="medium">
        <color indexed="64"/>
      </right>
      <top style="thin">
        <color rgb="FFB8CCE4"/>
      </top>
      <bottom/>
      <diagonal/>
    </border>
    <border>
      <left/>
      <right style="thin">
        <color rgb="FFB8CCE4"/>
      </right>
      <top style="thin">
        <color rgb="FFB8CCE4"/>
      </top>
      <bottom/>
      <diagonal/>
    </border>
    <border>
      <left style="medium">
        <color indexed="64"/>
      </left>
      <right style="thin">
        <color rgb="FFB8CCE4"/>
      </right>
      <top style="thin">
        <color rgb="FFB8CCE4"/>
      </top>
      <bottom/>
      <diagonal/>
    </border>
    <border>
      <left style="thin">
        <color rgb="FFB8CCE4"/>
      </left>
      <right/>
      <top style="thin">
        <color rgb="FFB8CCE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theme="1"/>
      </bottom>
      <diagonal/>
    </border>
    <border>
      <left style="medium">
        <color indexed="64"/>
      </left>
      <right style="medium">
        <color indexed="64"/>
      </right>
      <top style="hair">
        <color theme="1"/>
      </top>
      <bottom style="hair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B8CCE4"/>
      </bottom>
      <diagonal/>
    </border>
    <border>
      <left style="medium">
        <color indexed="64"/>
      </left>
      <right style="medium">
        <color indexed="64"/>
      </right>
      <top/>
      <bottom style="thin">
        <color rgb="FFB8CCE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rgb="FFBFBFBF"/>
      </left>
      <right/>
      <top style="medium">
        <color rgb="FFBFBFBF"/>
      </top>
      <bottom style="medium">
        <color rgb="FFBFBFBF"/>
      </bottom>
      <diagonal/>
    </border>
    <border>
      <left/>
      <right/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indexed="64"/>
      </left>
      <right/>
      <top/>
      <bottom/>
      <diagonal/>
    </border>
    <border>
      <left/>
      <right style="hair">
        <color theme="3" tint="0.59996337778862885"/>
      </right>
      <top style="hair">
        <color theme="1"/>
      </top>
      <bottom style="hair">
        <color theme="1"/>
      </bottom>
      <diagonal/>
    </border>
    <border>
      <left style="hair">
        <color theme="3" tint="0.59996337778862885"/>
      </left>
      <right style="hair">
        <color theme="3" tint="0.59996337778862885"/>
      </right>
      <top style="hair">
        <color theme="1"/>
      </top>
      <bottom style="hair">
        <color theme="1"/>
      </bottom>
      <diagonal/>
    </border>
    <border>
      <left style="hair">
        <color theme="3" tint="0.59996337778862885"/>
      </left>
      <right style="medium">
        <color indexed="64"/>
      </right>
      <top style="hair">
        <color theme="1"/>
      </top>
      <bottom style="hair">
        <color theme="1"/>
      </bottom>
      <diagonal/>
    </border>
    <border>
      <left style="hair">
        <color theme="3" tint="0.59996337778862885"/>
      </left>
      <right style="hair">
        <color theme="3" tint="0.59996337778862885"/>
      </right>
      <top style="hair">
        <color theme="1"/>
      </top>
      <bottom/>
      <diagonal/>
    </border>
    <border>
      <left style="hair">
        <color theme="3" tint="0.59996337778862885"/>
      </left>
      <right style="medium">
        <color indexed="64"/>
      </right>
      <top style="hair">
        <color theme="1"/>
      </top>
      <bottom/>
      <diagonal/>
    </border>
    <border>
      <left style="hair">
        <color theme="3" tint="0.59996337778862885"/>
      </left>
      <right style="hair">
        <color theme="3" tint="0.59996337778862885"/>
      </right>
      <top/>
      <bottom/>
      <diagonal/>
    </border>
    <border>
      <left style="hair">
        <color theme="3" tint="0.59996337778862885"/>
      </left>
      <right style="medium">
        <color indexed="64"/>
      </right>
      <top/>
      <bottom/>
      <diagonal/>
    </border>
    <border>
      <left/>
      <right style="hair">
        <color theme="3" tint="0.59996337778862885"/>
      </right>
      <top/>
      <bottom/>
      <diagonal/>
    </border>
  </borders>
  <cellStyleXfs count="2">
    <xf numFmtId="0" fontId="0" fillId="0" borderId="0"/>
    <xf numFmtId="43" fontId="19" fillId="0" borderId="0" applyFont="0" applyFill="0" applyBorder="0" applyAlignment="0" applyProtection="0"/>
  </cellStyleXfs>
  <cellXfs count="190">
    <xf numFmtId="0" fontId="0" fillId="0" borderId="0" xfId="0"/>
    <xf numFmtId="0" fontId="6" fillId="6" borderId="1" xfId="0" applyFont="1" applyFill="1" applyBorder="1" applyAlignment="1">
      <alignment horizontal="center" vertical="center"/>
    </xf>
    <xf numFmtId="4" fontId="5" fillId="6" borderId="1" xfId="0" applyNumberFormat="1" applyFont="1" applyFill="1" applyBorder="1" applyAlignment="1">
      <alignment horizontal="right" vertical="center"/>
    </xf>
    <xf numFmtId="0" fontId="7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4" fontId="5" fillId="8" borderId="1" xfId="0" applyNumberFormat="1" applyFont="1" applyFill="1" applyBorder="1" applyAlignment="1">
      <alignment horizontal="right" vertical="center"/>
    </xf>
    <xf numFmtId="4" fontId="6" fillId="6" borderId="1" xfId="0" applyNumberFormat="1" applyFont="1" applyFill="1" applyBorder="1" applyAlignment="1">
      <alignment horizontal="right" vertical="center"/>
    </xf>
    <xf numFmtId="4" fontId="8" fillId="4" borderId="3" xfId="0" applyNumberFormat="1" applyFont="1" applyFill="1" applyBorder="1" applyAlignment="1">
      <alignment horizontal="right" vertical="center"/>
    </xf>
    <xf numFmtId="0" fontId="0" fillId="4" borderId="3" xfId="0" applyFill="1" applyBorder="1"/>
    <xf numFmtId="0" fontId="2" fillId="3" borderId="3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4" fontId="11" fillId="11" borderId="3" xfId="0" applyNumberFormat="1" applyFont="1" applyFill="1" applyBorder="1" applyAlignment="1">
      <alignment horizontal="center" vertical="center"/>
    </xf>
    <xf numFmtId="4" fontId="12" fillId="11" borderId="3" xfId="0" applyNumberFormat="1" applyFont="1" applyFill="1" applyBorder="1" applyAlignment="1">
      <alignment horizontal="center" vertical="center"/>
    </xf>
    <xf numFmtId="4" fontId="13" fillId="11" borderId="3" xfId="0" applyNumberFormat="1" applyFont="1" applyFill="1" applyBorder="1" applyAlignment="1">
      <alignment horizontal="center" vertical="center"/>
    </xf>
    <xf numFmtId="0" fontId="14" fillId="11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4" fontId="7" fillId="7" borderId="1" xfId="0" applyNumberFormat="1" applyFont="1" applyFill="1" applyBorder="1"/>
    <xf numFmtId="0" fontId="17" fillId="6" borderId="1" xfId="0" applyFont="1" applyFill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 wrapText="1"/>
    </xf>
    <xf numFmtId="4" fontId="0" fillId="0" borderId="0" xfId="0" applyNumberFormat="1"/>
    <xf numFmtId="0" fontId="16" fillId="2" borderId="12" xfId="0" applyFont="1" applyFill="1" applyBorder="1" applyAlignment="1">
      <alignment horizontal="center" vertical="center" wrapText="1"/>
    </xf>
    <xf numFmtId="164" fontId="7" fillId="7" borderId="6" xfId="0" applyNumberFormat="1" applyFont="1" applyFill="1" applyBorder="1" applyAlignment="1">
      <alignment horizontal="right" vertical="center"/>
    </xf>
    <xf numFmtId="0" fontId="6" fillId="0" borderId="15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0" fillId="4" borderId="9" xfId="0" applyFill="1" applyBorder="1" applyAlignment="1">
      <alignment horizontal="center"/>
    </xf>
    <xf numFmtId="0" fontId="6" fillId="0" borderId="1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 wrapText="1"/>
    </xf>
    <xf numFmtId="0" fontId="4" fillId="5" borderId="18" xfId="0" applyFont="1" applyFill="1" applyBorder="1" applyAlignment="1">
      <alignment horizontal="center" vertical="center" wrapText="1"/>
    </xf>
    <xf numFmtId="0" fontId="6" fillId="0" borderId="19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right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4" fillId="5" borderId="28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2" fontId="6" fillId="0" borderId="10" xfId="0" applyNumberFormat="1" applyFont="1" applyBorder="1" applyAlignment="1">
      <alignment horizontal="right" vertical="center"/>
    </xf>
    <xf numFmtId="0" fontId="7" fillId="0" borderId="10" xfId="0" applyFont="1" applyBorder="1" applyAlignment="1">
      <alignment horizontal="center" vertical="center"/>
    </xf>
    <xf numFmtId="4" fontId="3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4" fontId="8" fillId="0" borderId="20" xfId="0" applyNumberFormat="1" applyFont="1" applyBorder="1" applyAlignment="1">
      <alignment horizontal="right" vertical="center"/>
    </xf>
    <xf numFmtId="4" fontId="8" fillId="13" borderId="20" xfId="0" applyNumberFormat="1" applyFont="1" applyFill="1" applyBorder="1" applyAlignment="1">
      <alignment horizontal="right" vertical="center"/>
    </xf>
    <xf numFmtId="0" fontId="6" fillId="0" borderId="31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0" fillId="0" borderId="34" xfId="0" applyBorder="1"/>
    <xf numFmtId="43" fontId="0" fillId="0" borderId="0" xfId="1" applyFont="1"/>
    <xf numFmtId="43" fontId="5" fillId="0" borderId="30" xfId="1" applyFont="1" applyBorder="1" applyAlignment="1">
      <alignment horizontal="right" vertical="center"/>
    </xf>
    <xf numFmtId="43" fontId="5" fillId="0" borderId="29" xfId="1" applyFont="1" applyBorder="1" applyAlignment="1">
      <alignment horizontal="right" vertical="center"/>
    </xf>
    <xf numFmtId="0" fontId="22" fillId="14" borderId="35" xfId="0" applyFont="1" applyFill="1" applyBorder="1" applyAlignment="1">
      <alignment vertical="center"/>
    </xf>
    <xf numFmtId="14" fontId="20" fillId="0" borderId="34" xfId="0" applyNumberFormat="1" applyFont="1" applyBorder="1" applyAlignment="1">
      <alignment horizontal="center" vertical="center"/>
    </xf>
    <xf numFmtId="0" fontId="22" fillId="14" borderId="36" xfId="0" applyFont="1" applyFill="1" applyBorder="1" applyAlignment="1">
      <alignment vertical="center"/>
    </xf>
    <xf numFmtId="0" fontId="22" fillId="14" borderId="37" xfId="0" applyFont="1" applyFill="1" applyBorder="1" applyAlignment="1">
      <alignment vertical="center"/>
    </xf>
    <xf numFmtId="4" fontId="20" fillId="0" borderId="34" xfId="0" applyNumberFormat="1" applyFont="1" applyBorder="1" applyAlignment="1">
      <alignment horizontal="center" vertical="center"/>
    </xf>
    <xf numFmtId="4" fontId="24" fillId="0" borderId="34" xfId="0" applyNumberFormat="1" applyFont="1" applyBorder="1" applyAlignment="1">
      <alignment horizontal="center" vertical="center"/>
    </xf>
    <xf numFmtId="0" fontId="23" fillId="14" borderId="37" xfId="0" applyFont="1" applyFill="1" applyBorder="1" applyAlignment="1">
      <alignment vertical="center" wrapText="1"/>
    </xf>
    <xf numFmtId="4" fontId="21" fillId="0" borderId="34" xfId="0" applyNumberFormat="1" applyFont="1" applyBorder="1" applyAlignment="1">
      <alignment horizontal="center" vertical="center"/>
    </xf>
    <xf numFmtId="4" fontId="20" fillId="0" borderId="20" xfId="0" applyNumberFormat="1" applyFont="1" applyBorder="1" applyAlignment="1">
      <alignment horizontal="center" vertical="center"/>
    </xf>
    <xf numFmtId="43" fontId="5" fillId="0" borderId="33" xfId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  <xf numFmtId="2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165" fontId="0" fillId="0" borderId="0" xfId="0" applyNumberFormat="1"/>
    <xf numFmtId="4" fontId="6" fillId="0" borderId="1" xfId="0" applyNumberFormat="1" applyFont="1" applyBorder="1" applyAlignment="1">
      <alignment horizontal="center" vertical="center"/>
    </xf>
    <xf numFmtId="4" fontId="6" fillId="0" borderId="0" xfId="0" applyNumberFormat="1" applyFont="1" applyAlignment="1">
      <alignment horizontal="center" vertical="center"/>
    </xf>
    <xf numFmtId="0" fontId="0" fillId="12" borderId="38" xfId="0" applyFill="1" applyBorder="1" applyAlignment="1">
      <alignment horizontal="left"/>
    </xf>
    <xf numFmtId="0" fontId="0" fillId="0" borderId="38" xfId="0" applyBorder="1" applyAlignment="1">
      <alignment horizontal="left"/>
    </xf>
    <xf numFmtId="0" fontId="0" fillId="12" borderId="38" xfId="0" applyFill="1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0" fillId="12" borderId="39" xfId="0" applyFill="1" applyBorder="1" applyAlignment="1">
      <alignment horizontal="center"/>
    </xf>
    <xf numFmtId="0" fontId="0" fillId="0" borderId="39" xfId="0" applyBorder="1" applyAlignment="1">
      <alignment horizontal="center"/>
    </xf>
    <xf numFmtId="0" fontId="26" fillId="15" borderId="0" xfId="0" applyFont="1" applyFill="1" applyAlignment="1">
      <alignment horizontal="center" vertical="center"/>
    </xf>
    <xf numFmtId="0" fontId="0" fillId="0" borderId="39" xfId="0" applyBorder="1" applyAlignment="1">
      <alignment horizontal="left"/>
    </xf>
    <xf numFmtId="0" fontId="0" fillId="12" borderId="39" xfId="0" applyFill="1" applyBorder="1" applyAlignment="1">
      <alignment horizontal="left"/>
    </xf>
    <xf numFmtId="0" fontId="28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7" fillId="0" borderId="0" xfId="0" applyFont="1" applyAlignment="1">
      <alignment horizontal="left" vertical="center"/>
    </xf>
    <xf numFmtId="0" fontId="31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27" fillId="0" borderId="0" xfId="0" applyFont="1" applyAlignment="1">
      <alignment vertical="center" wrapText="1"/>
    </xf>
    <xf numFmtId="0" fontId="32" fillId="0" borderId="0" xfId="0" applyFont="1" applyAlignment="1">
      <alignment vertical="center" wrapText="1"/>
    </xf>
    <xf numFmtId="0" fontId="33" fillId="0" borderId="0" xfId="0" applyFont="1" applyAlignment="1">
      <alignment horizontal="center" vertical="center"/>
    </xf>
    <xf numFmtId="0" fontId="31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164" fontId="7" fillId="18" borderId="6" xfId="0" applyNumberFormat="1" applyFont="1" applyFill="1" applyBorder="1" applyAlignment="1">
      <alignment horizontal="right" vertical="center"/>
    </xf>
    <xf numFmtId="0" fontId="28" fillId="0" borderId="0" xfId="0" applyFont="1" applyAlignment="1">
      <alignment horizontal="left" vertical="center"/>
    </xf>
    <xf numFmtId="0" fontId="36" fillId="0" borderId="0" xfId="0" applyFont="1" applyAlignment="1">
      <alignment horizontal="center" vertical="center"/>
    </xf>
    <xf numFmtId="0" fontId="39" fillId="0" borderId="0" xfId="0" applyFont="1" applyAlignment="1">
      <alignment horizontal="left"/>
    </xf>
    <xf numFmtId="0" fontId="39" fillId="0" borderId="0" xfId="0" applyFont="1"/>
    <xf numFmtId="0" fontId="40" fillId="0" borderId="0" xfId="0" applyFont="1" applyAlignment="1">
      <alignment horizontal="left" vertical="center"/>
    </xf>
    <xf numFmtId="0" fontId="40" fillId="0" borderId="0" xfId="0" applyFont="1" applyAlignment="1">
      <alignment vertical="center"/>
    </xf>
    <xf numFmtId="0" fontId="41" fillId="0" borderId="0" xfId="0" applyFont="1" applyAlignment="1">
      <alignment vertical="center"/>
    </xf>
    <xf numFmtId="43" fontId="5" fillId="0" borderId="30" xfId="1" applyFont="1" applyFill="1" applyBorder="1" applyAlignment="1">
      <alignment horizontal="right" vertical="center"/>
    </xf>
    <xf numFmtId="43" fontId="6" fillId="0" borderId="1" xfId="1" applyFont="1" applyFill="1" applyBorder="1" applyAlignment="1">
      <alignment horizontal="right" vertical="center"/>
    </xf>
    <xf numFmtId="43" fontId="6" fillId="0" borderId="1" xfId="1" applyFont="1" applyFill="1" applyBorder="1" applyAlignment="1">
      <alignment horizontal="center" vertical="center"/>
    </xf>
    <xf numFmtId="164" fontId="7" fillId="0" borderId="6" xfId="0" applyNumberFormat="1" applyFont="1" applyBorder="1" applyAlignment="1">
      <alignment horizontal="right" vertical="center"/>
    </xf>
    <xf numFmtId="4" fontId="6" fillId="0" borderId="23" xfId="0" applyNumberFormat="1" applyFont="1" applyBorder="1" applyAlignment="1">
      <alignment horizontal="center" vertical="center"/>
    </xf>
    <xf numFmtId="43" fontId="6" fillId="0" borderId="23" xfId="1" applyFont="1" applyBorder="1" applyAlignment="1">
      <alignment horizontal="right" vertical="center"/>
    </xf>
    <xf numFmtId="164" fontId="7" fillId="18" borderId="43" xfId="0" applyNumberFormat="1" applyFont="1" applyFill="1" applyBorder="1" applyAlignment="1">
      <alignment horizontal="right" vertical="center"/>
    </xf>
    <xf numFmtId="0" fontId="5" fillId="0" borderId="44" xfId="0" applyFont="1" applyBorder="1" applyAlignment="1">
      <alignment horizontal="center" vertical="center"/>
    </xf>
    <xf numFmtId="0" fontId="6" fillId="0" borderId="45" xfId="0" applyFont="1" applyBorder="1" applyAlignment="1">
      <alignment horizontal="left" vertical="center"/>
    </xf>
    <xf numFmtId="0" fontId="6" fillId="0" borderId="45" xfId="0" applyFont="1" applyBorder="1" applyAlignment="1">
      <alignment horizontal="left" vertical="center" wrapText="1"/>
    </xf>
    <xf numFmtId="0" fontId="6" fillId="12" borderId="45" xfId="0" applyFont="1" applyFill="1" applyBorder="1" applyAlignment="1">
      <alignment horizontal="left" vertical="center" wrapText="1"/>
    </xf>
    <xf numFmtId="0" fontId="25" fillId="0" borderId="45" xfId="0" applyFont="1" applyBorder="1" applyAlignment="1">
      <alignment horizontal="left" vertical="center"/>
    </xf>
    <xf numFmtId="165" fontId="6" fillId="0" borderId="45" xfId="0" applyNumberFormat="1" applyFont="1" applyBorder="1" applyAlignment="1">
      <alignment horizontal="center" vertical="center"/>
    </xf>
    <xf numFmtId="166" fontId="6" fillId="0" borderId="45" xfId="0" applyNumberFormat="1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6" fillId="0" borderId="46" xfId="0" applyFont="1" applyBorder="1" applyAlignment="1">
      <alignment horizontal="left" vertical="center" wrapText="1"/>
    </xf>
    <xf numFmtId="0" fontId="6" fillId="0" borderId="47" xfId="0" applyFont="1" applyBorder="1" applyAlignment="1">
      <alignment horizontal="left" vertical="center" wrapText="1"/>
    </xf>
    <xf numFmtId="165" fontId="6" fillId="0" borderId="47" xfId="0" applyNumberFormat="1" applyFont="1" applyBorder="1" applyAlignment="1">
      <alignment horizontal="center" vertical="center"/>
    </xf>
    <xf numFmtId="0" fontId="6" fillId="0" borderId="48" xfId="0" applyFont="1" applyBorder="1" applyAlignment="1">
      <alignment horizontal="left" vertical="center" wrapText="1"/>
    </xf>
    <xf numFmtId="0" fontId="6" fillId="0" borderId="45" xfId="0" quotePrefix="1" applyFont="1" applyBorder="1" applyAlignment="1">
      <alignment horizontal="left" vertical="center" wrapText="1"/>
    </xf>
    <xf numFmtId="0" fontId="6" fillId="0" borderId="49" xfId="0" applyFont="1" applyBorder="1" applyAlignment="1">
      <alignment horizontal="left" vertical="center" wrapText="1"/>
    </xf>
    <xf numFmtId="0" fontId="6" fillId="0" borderId="49" xfId="0" quotePrefix="1" applyFont="1" applyBorder="1" applyAlignment="1">
      <alignment horizontal="left" vertical="center" wrapText="1"/>
    </xf>
    <xf numFmtId="165" fontId="6" fillId="0" borderId="49" xfId="0" applyNumberFormat="1" applyFont="1" applyBorder="1" applyAlignment="1">
      <alignment horizontal="center" vertical="center"/>
    </xf>
    <xf numFmtId="0" fontId="6" fillId="0" borderId="50" xfId="0" applyFont="1" applyBorder="1" applyAlignment="1">
      <alignment horizontal="left" vertical="center" wrapText="1"/>
    </xf>
    <xf numFmtId="166" fontId="6" fillId="0" borderId="49" xfId="0" applyNumberFormat="1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25" fillId="0" borderId="49" xfId="0" applyFont="1" applyBorder="1" applyAlignment="1">
      <alignment horizontal="left" vertical="center"/>
    </xf>
    <xf numFmtId="0" fontId="6" fillId="0" borderId="45" xfId="0" applyFont="1" applyBorder="1" applyAlignment="1">
      <alignment horizontal="center" vertical="center" wrapText="1"/>
    </xf>
    <xf numFmtId="0" fontId="6" fillId="0" borderId="49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38" fillId="0" borderId="0" xfId="0" applyFont="1" applyAlignment="1">
      <alignment horizontal="left" vertical="center" wrapText="1"/>
    </xf>
    <xf numFmtId="0" fontId="37" fillId="0" borderId="0" xfId="0" applyFont="1" applyAlignment="1">
      <alignment horizontal="left" vertical="center" wrapText="1"/>
    </xf>
    <xf numFmtId="0" fontId="38" fillId="0" borderId="0" xfId="0" quotePrefix="1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168" fontId="38" fillId="0" borderId="0" xfId="0" applyNumberFormat="1" applyFont="1" applyAlignment="1">
      <alignment horizontal="left" vertical="center" wrapText="1"/>
    </xf>
    <xf numFmtId="0" fontId="42" fillId="0" borderId="0" xfId="0" applyFont="1" applyAlignment="1">
      <alignment horizontal="left" vertical="center" wrapText="1"/>
    </xf>
    <xf numFmtId="0" fontId="15" fillId="3" borderId="21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right" vertical="center"/>
    </xf>
    <xf numFmtId="167" fontId="27" fillId="0" borderId="0" xfId="0" applyNumberFormat="1" applyFont="1" applyAlignment="1">
      <alignment horizontal="left" vertical="center" wrapText="1"/>
    </xf>
    <xf numFmtId="0" fontId="8" fillId="0" borderId="0" xfId="0" applyFont="1" applyAlignment="1">
      <alignment horizontal="right" vertical="center" wrapText="1"/>
    </xf>
    <xf numFmtId="0" fontId="28" fillId="0" borderId="0" xfId="0" applyFont="1" applyAlignment="1">
      <alignment vertical="center"/>
    </xf>
    <xf numFmtId="0" fontId="27" fillId="0" borderId="0" xfId="0" applyFont="1" applyAlignment="1">
      <alignment horizontal="left" vertical="center" wrapText="1"/>
    </xf>
    <xf numFmtId="0" fontId="34" fillId="0" borderId="40" xfId="0" applyFont="1" applyBorder="1" applyAlignment="1">
      <alignment horizontal="center" vertical="center" wrapText="1"/>
    </xf>
    <xf numFmtId="0" fontId="34" fillId="0" borderId="41" xfId="0" applyFont="1" applyBorder="1" applyAlignment="1">
      <alignment horizontal="center" vertical="center" wrapText="1"/>
    </xf>
    <xf numFmtId="0" fontId="34" fillId="0" borderId="42" xfId="0" applyFont="1" applyBorder="1" applyAlignment="1">
      <alignment horizontal="center" vertical="center" wrapText="1"/>
    </xf>
    <xf numFmtId="0" fontId="6" fillId="0" borderId="40" xfId="0" applyFont="1" applyBorder="1" applyAlignment="1">
      <alignment horizontal="left" vertical="center" wrapText="1"/>
    </xf>
    <xf numFmtId="0" fontId="6" fillId="0" borderId="41" xfId="0" applyFont="1" applyBorder="1" applyAlignment="1">
      <alignment horizontal="left" vertical="center" wrapText="1"/>
    </xf>
    <xf numFmtId="0" fontId="6" fillId="0" borderId="42" xfId="0" applyFont="1" applyBorder="1" applyAlignment="1">
      <alignment horizontal="left" vertical="center" wrapText="1"/>
    </xf>
    <xf numFmtId="0" fontId="34" fillId="0" borderId="40" xfId="0" applyFont="1" applyBorder="1" applyAlignment="1">
      <alignment horizontal="left" vertical="center" wrapText="1"/>
    </xf>
    <xf numFmtId="0" fontId="34" fillId="0" borderId="41" xfId="0" applyFont="1" applyBorder="1" applyAlignment="1">
      <alignment horizontal="left" vertical="center" wrapText="1"/>
    </xf>
    <xf numFmtId="0" fontId="34" fillId="0" borderId="42" xfId="0" applyFont="1" applyBorder="1" applyAlignment="1">
      <alignment horizontal="left" vertical="center" wrapText="1"/>
    </xf>
    <xf numFmtId="0" fontId="8" fillId="0" borderId="0" xfId="0" applyFont="1" applyAlignment="1">
      <alignment vertical="center" wrapText="1"/>
    </xf>
    <xf numFmtId="0" fontId="31" fillId="0" borderId="0" xfId="0" applyFont="1" applyAlignment="1">
      <alignment horizontal="left" vertical="center" wrapText="1"/>
    </xf>
    <xf numFmtId="0" fontId="5" fillId="17" borderId="40" xfId="0" applyFont="1" applyFill="1" applyBorder="1" applyAlignment="1">
      <alignment vertical="center" wrapText="1"/>
    </xf>
    <xf numFmtId="0" fontId="5" fillId="17" borderId="41" xfId="0" applyFont="1" applyFill="1" applyBorder="1" applyAlignment="1">
      <alignment vertical="center" wrapText="1"/>
    </xf>
    <xf numFmtId="0" fontId="5" fillId="17" borderId="42" xfId="0" applyFont="1" applyFill="1" applyBorder="1" applyAlignment="1">
      <alignment vertical="center" wrapText="1"/>
    </xf>
    <xf numFmtId="2" fontId="34" fillId="0" borderId="40" xfId="1" applyNumberFormat="1" applyFont="1" applyBorder="1" applyAlignment="1">
      <alignment horizontal="center" vertical="center" wrapText="1"/>
    </xf>
    <xf numFmtId="0" fontId="34" fillId="0" borderId="41" xfId="1" applyNumberFormat="1" applyFont="1" applyBorder="1" applyAlignment="1">
      <alignment horizontal="center" vertical="center" wrapText="1"/>
    </xf>
    <xf numFmtId="0" fontId="34" fillId="0" borderId="42" xfId="1" applyNumberFormat="1" applyFont="1" applyBorder="1" applyAlignment="1">
      <alignment horizontal="center" vertical="center" wrapText="1"/>
    </xf>
    <xf numFmtId="0" fontId="30" fillId="0" borderId="0" xfId="0" applyFont="1" applyAlignment="1">
      <alignment horizontal="left" vertical="center"/>
    </xf>
    <xf numFmtId="43" fontId="8" fillId="0" borderId="0" xfId="0" applyNumberFormat="1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5" fillId="16" borderId="40" xfId="0" applyFont="1" applyFill="1" applyBorder="1" applyAlignment="1">
      <alignment horizontal="center" vertical="center" wrapText="1"/>
    </xf>
    <xf numFmtId="0" fontId="5" fillId="16" borderId="41" xfId="0" applyFont="1" applyFill="1" applyBorder="1" applyAlignment="1">
      <alignment horizontal="center" vertical="center" wrapText="1"/>
    </xf>
    <xf numFmtId="0" fontId="5" fillId="16" borderId="42" xfId="0" applyFont="1" applyFill="1" applyBorder="1" applyAlignment="1">
      <alignment horizontal="center" vertical="center" wrapText="1"/>
    </xf>
    <xf numFmtId="0" fontId="27" fillId="0" borderId="0" xfId="0" applyFont="1" applyAlignment="1">
      <alignment horizontal="left" vertical="center"/>
    </xf>
    <xf numFmtId="0" fontId="34" fillId="0" borderId="40" xfId="0" applyFont="1" applyBorder="1" applyAlignment="1">
      <alignment vertical="center" wrapText="1"/>
    </xf>
    <xf numFmtId="0" fontId="34" fillId="0" borderId="41" xfId="0" applyFont="1" applyBorder="1" applyAlignment="1">
      <alignment vertical="center" wrapText="1"/>
    </xf>
    <xf numFmtId="0" fontId="34" fillId="0" borderId="42" xfId="0" applyFont="1" applyBorder="1" applyAlignment="1">
      <alignment vertical="center" wrapText="1"/>
    </xf>
    <xf numFmtId="0" fontId="29" fillId="0" borderId="0" xfId="0" applyFont="1" applyAlignment="1">
      <alignment horizontal="center" vertical="center"/>
    </xf>
    <xf numFmtId="0" fontId="32" fillId="0" borderId="0" xfId="0" applyFont="1" applyAlignment="1">
      <alignment vertical="center" wrapText="1"/>
    </xf>
    <xf numFmtId="0" fontId="5" fillId="16" borderId="40" xfId="0" applyFont="1" applyFill="1" applyBorder="1" applyAlignment="1">
      <alignment horizontal="left" vertical="center" wrapText="1"/>
    </xf>
    <xf numFmtId="0" fontId="5" fillId="16" borderId="41" xfId="0" applyFont="1" applyFill="1" applyBorder="1" applyAlignment="1">
      <alignment horizontal="left" vertical="center" wrapText="1"/>
    </xf>
    <xf numFmtId="0" fontId="5" fillId="16" borderId="42" xfId="0" applyFont="1" applyFill="1" applyBorder="1" applyAlignment="1">
      <alignment horizontal="left" vertical="center" wrapText="1"/>
    </xf>
    <xf numFmtId="0" fontId="32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34" fillId="0" borderId="40" xfId="1" applyNumberFormat="1" applyFont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</cellXfs>
  <cellStyles count="2">
    <cellStyle name="Comma" xfId="1" builtinId="3"/>
    <cellStyle name="Normal" xfId="0" builtinId="0"/>
  </cellStyles>
  <dxfs count="1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164" formatCode="#,##0.00;\(#,##0.00\);\-"/>
      <fill>
        <patternFill patternType="solid">
          <fgColor rgb="FFF2F2F2"/>
          <bgColor rgb="FFE2EFDA"/>
        </patternFill>
      </fill>
      <alignment horizontal="right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thin">
          <color rgb="FFB8CCE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8CCE4"/>
        </left>
        <right/>
        <top style="thin">
          <color rgb="FFB8CCE4"/>
        </top>
        <bottom style="thin">
          <color rgb="FFB8CCE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8CCE4"/>
        </left>
        <right style="thin">
          <color rgb="FFB8CCE4"/>
        </right>
        <top style="thin">
          <color rgb="FFB8CCE4"/>
        </top>
        <bottom style="thin">
          <color rgb="FFB8CCE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8CCE4"/>
        </left>
        <right style="thin">
          <color rgb="FFB8CCE4"/>
        </right>
        <top style="thin">
          <color rgb="FFB8CCE4"/>
        </top>
        <bottom style="thin">
          <color rgb="FFB8CCE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8CCE4"/>
        </left>
        <right style="thin">
          <color rgb="FFB8CCE4"/>
        </right>
        <top style="thin">
          <color rgb="FFB8CCE4"/>
        </top>
        <bottom style="thin">
          <color rgb="FFB8CCE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8CCE4"/>
        </left>
        <right style="thin">
          <color rgb="FFB8CCE4"/>
        </right>
        <top style="thin">
          <color rgb="FFB8CCE4"/>
        </top>
        <bottom style="thin">
          <color rgb="FFB8CCE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8CCE4"/>
        </left>
        <right style="thin">
          <color rgb="FFB8CCE4"/>
        </right>
        <top style="thin">
          <color rgb="FFB8CCE4"/>
        </top>
        <bottom style="thin">
          <color rgb="FFB8CCE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rgb="FFB8CCE4"/>
        </right>
        <top style="thin">
          <color rgb="FFB8CCE4"/>
        </top>
        <bottom style="thin">
          <color rgb="FFB8CCE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8CCE4"/>
        </left>
        <right style="medium">
          <color indexed="64"/>
        </right>
        <top style="thin">
          <color rgb="FFB8CCE4"/>
        </top>
        <bottom style="thin">
          <color rgb="FFB8CCE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8CCE4"/>
        </left>
        <right style="thin">
          <color rgb="FFB8CCE4"/>
        </right>
        <top style="thin">
          <color rgb="FFB8CCE4"/>
        </top>
        <bottom style="thin">
          <color rgb="FFB8CCE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8CCE4"/>
        </left>
        <right style="thin">
          <color rgb="FFB8CCE4"/>
        </right>
        <top style="thin">
          <color rgb="FFB8CCE4"/>
        </top>
        <bottom style="thin">
          <color rgb="FFB8CCE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8CCE4"/>
        </left>
        <right style="thin">
          <color rgb="FFB8CCE4"/>
        </right>
        <top style="thin">
          <color rgb="FFB8CCE4"/>
        </top>
        <bottom style="thin">
          <color rgb="FFB8CCE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8CCE4"/>
        </left>
        <right style="thin">
          <color rgb="FFB8CCE4"/>
        </right>
        <top style="thin">
          <color rgb="FFB8CCE4"/>
        </top>
        <bottom style="thin">
          <color rgb="FFB8CCE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8CCE4"/>
        </left>
        <right style="thin">
          <color rgb="FFB8CCE4"/>
        </right>
        <top style="thin">
          <color rgb="FFB8CCE4"/>
        </top>
        <bottom style="thin">
          <color rgb="FFB8CCE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rgb="FFB8CCE4"/>
        </right>
        <top style="thin">
          <color rgb="FFB8CCE4"/>
        </top>
        <bottom style="thin">
          <color rgb="FFB8CCE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8CCE4"/>
        </left>
        <right style="medium">
          <color indexed="64"/>
        </right>
        <top style="thin">
          <color rgb="FFB8CCE4"/>
        </top>
        <bottom style="thin">
          <color rgb="FFB8CCE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8CCE4"/>
        </left>
        <right style="thin">
          <color rgb="FFB8CCE4"/>
        </right>
        <top style="thin">
          <color rgb="FFB8CCE4"/>
        </top>
        <bottom style="thin">
          <color rgb="FFB8CCE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8CCE4"/>
        </left>
        <right style="thin">
          <color rgb="FFB8CCE4"/>
        </right>
        <top style="thin">
          <color rgb="FFB8CCE4"/>
        </top>
        <bottom style="thin">
          <color rgb="FFB8CCE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8CCE4"/>
        </left>
        <right style="thin">
          <color rgb="FFB8CCE4"/>
        </right>
        <top style="thin">
          <color rgb="FFB8CCE4"/>
        </top>
        <bottom style="thin">
          <color rgb="FFB8CCE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8CCE4"/>
        </left>
        <right style="thin">
          <color rgb="FFB8CCE4"/>
        </right>
        <top style="thin">
          <color rgb="FFB8CCE4"/>
        </top>
        <bottom style="thin">
          <color rgb="FFB8CCE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8CCE4"/>
        </left>
        <right style="thin">
          <color rgb="FFB8CCE4"/>
        </right>
        <top style="thin">
          <color rgb="FFB8CCE4"/>
        </top>
        <bottom style="thin">
          <color rgb="FFB8CCE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rgb="FFB8CCE4"/>
        </right>
        <top style="thin">
          <color rgb="FFB8CCE4"/>
        </top>
        <bottom style="thin">
          <color rgb="FFB8CCE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8CCE4"/>
        </left>
        <right style="medium">
          <color indexed="64"/>
        </right>
        <top style="thin">
          <color rgb="FFB8CCE4"/>
        </top>
        <bottom style="thin">
          <color rgb="FFB8CCE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8CCE4"/>
        </left>
        <right style="thin">
          <color rgb="FFB8CCE4"/>
        </right>
        <top style="thin">
          <color rgb="FFB8CCE4"/>
        </top>
        <bottom style="thin">
          <color rgb="FFB8CCE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8CCE4"/>
        </left>
        <right style="thin">
          <color rgb="FFB8CCE4"/>
        </right>
        <top style="thin">
          <color rgb="FFB8CCE4"/>
        </top>
        <bottom style="thin">
          <color rgb="FFB8CCE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8CCE4"/>
        </left>
        <right style="thin">
          <color rgb="FFB8CCE4"/>
        </right>
        <top style="thin">
          <color rgb="FFB8CCE4"/>
        </top>
        <bottom style="thin">
          <color rgb="FFB8CCE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8CCE4"/>
        </left>
        <right style="thin">
          <color rgb="FFB8CCE4"/>
        </right>
        <top style="thin">
          <color rgb="FFB8CCE4"/>
        </top>
        <bottom style="thin">
          <color rgb="FFB8CCE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8CCE4"/>
        </left>
        <right style="thin">
          <color rgb="FFB8CCE4"/>
        </right>
        <top style="thin">
          <color rgb="FFB8CCE4"/>
        </top>
        <bottom style="thin">
          <color rgb="FFB8CCE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rgb="FFB8CCE4"/>
        </right>
        <top style="thin">
          <color rgb="FFB8CCE4"/>
        </top>
        <bottom style="thin">
          <color rgb="FFB8CCE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8CCE4"/>
        </left>
        <right style="medium">
          <color indexed="64"/>
        </right>
        <top style="thin">
          <color rgb="FFB8CCE4"/>
        </top>
        <bottom style="thin">
          <color rgb="FFB8CCE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8CCE4"/>
        </left>
        <right style="thin">
          <color rgb="FFB8CCE4"/>
        </right>
        <top style="thin">
          <color rgb="FFB8CCE4"/>
        </top>
        <bottom style="thin">
          <color rgb="FFB8CCE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8CCE4"/>
        </left>
        <right style="thin">
          <color rgb="FFB8CCE4"/>
        </right>
        <top style="thin">
          <color rgb="FFB8CCE4"/>
        </top>
        <bottom style="thin">
          <color rgb="FFB8CCE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8CCE4"/>
        </left>
        <right style="thin">
          <color rgb="FFB8CCE4"/>
        </right>
        <top style="thin">
          <color rgb="FFB8CCE4"/>
        </top>
        <bottom style="thin">
          <color rgb="FFB8CCE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8CCE4"/>
        </left>
        <right style="thin">
          <color rgb="FFB8CCE4"/>
        </right>
        <top style="thin">
          <color rgb="FFB8CCE4"/>
        </top>
        <bottom style="thin">
          <color rgb="FFB8CCE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8CCE4"/>
        </left>
        <right style="thin">
          <color rgb="FFB8CCE4"/>
        </right>
        <top style="thin">
          <color rgb="FFB8CCE4"/>
        </top>
        <bottom style="thin">
          <color rgb="FFB8CCE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rgb="FFB8CCE4"/>
        </right>
        <top style="thin">
          <color rgb="FFB8CCE4"/>
        </top>
        <bottom style="thin">
          <color rgb="FFB8CCE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8CCE4"/>
        </left>
        <right style="medium">
          <color indexed="64"/>
        </right>
        <top style="thin">
          <color rgb="FFB8CCE4"/>
        </top>
        <bottom style="thin">
          <color rgb="FFB8CCE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8CCE4"/>
        </left>
        <right style="thin">
          <color rgb="FFB8CCE4"/>
        </right>
        <top style="thin">
          <color rgb="FFB8CCE4"/>
        </top>
        <bottom style="thin">
          <color rgb="FFB8CCE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8CCE4"/>
        </left>
        <right style="thin">
          <color rgb="FFB8CCE4"/>
        </right>
        <top style="thin">
          <color rgb="FFB8CCE4"/>
        </top>
        <bottom style="thin">
          <color rgb="FFB8CCE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8CCE4"/>
        </left>
        <right style="thin">
          <color rgb="FFB8CCE4"/>
        </right>
        <top style="thin">
          <color rgb="FFB8CCE4"/>
        </top>
        <bottom style="thin">
          <color rgb="FFB8CCE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8CCE4"/>
        </left>
        <right style="thin">
          <color rgb="FFB8CCE4"/>
        </right>
        <top style="thin">
          <color rgb="FFB8CCE4"/>
        </top>
        <bottom style="thin">
          <color rgb="FFB8CCE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8CCE4"/>
        </left>
        <right style="thin">
          <color rgb="FFB8CCE4"/>
        </right>
        <top style="thin">
          <color rgb="FFB8CCE4"/>
        </top>
        <bottom style="thin">
          <color rgb="FFB8CCE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rgb="FFB8CCE4"/>
        </right>
        <top style="thin">
          <color rgb="FFB8CCE4"/>
        </top>
        <bottom style="thin">
          <color rgb="FFB8CCE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8CCE4"/>
        </left>
        <right style="medium">
          <color indexed="64"/>
        </right>
        <top style="thin">
          <color rgb="FFB8CCE4"/>
        </top>
        <bottom style="thin">
          <color rgb="FFB8CCE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8CCE4"/>
        </left>
        <right style="thin">
          <color rgb="FFB8CCE4"/>
        </right>
        <top style="thin">
          <color rgb="FFB8CCE4"/>
        </top>
        <bottom style="thin">
          <color rgb="FFB8CCE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8CCE4"/>
        </left>
        <right style="thin">
          <color rgb="FFB8CCE4"/>
        </right>
        <top style="thin">
          <color rgb="FFB8CCE4"/>
        </top>
        <bottom style="thin">
          <color rgb="FFB8CCE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8CCE4"/>
        </left>
        <right style="thin">
          <color rgb="FFB8CCE4"/>
        </right>
        <top style="thin">
          <color rgb="FFB8CCE4"/>
        </top>
        <bottom style="thin">
          <color rgb="FFB8CCE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8CCE4"/>
        </left>
        <right style="thin">
          <color rgb="FFB8CCE4"/>
        </right>
        <top style="thin">
          <color rgb="FFB8CCE4"/>
        </top>
        <bottom style="thin">
          <color rgb="FFB8CCE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8CCE4"/>
        </left>
        <right style="thin">
          <color rgb="FFB8CCE4"/>
        </right>
        <top style="thin">
          <color rgb="FFB8CCE4"/>
        </top>
        <bottom style="thin">
          <color rgb="FFB8CCE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rgb="FFB8CCE4"/>
        </right>
        <top style="thin">
          <color rgb="FFB8CCE4"/>
        </top>
        <bottom style="thin">
          <color rgb="FFB8CCE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8CCE4"/>
        </left>
        <right style="medium">
          <color indexed="64"/>
        </right>
        <top style="thin">
          <color rgb="FFB8CCE4"/>
        </top>
        <bottom style="thin">
          <color rgb="FFB8CCE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8CCE4"/>
        </left>
        <right style="thin">
          <color rgb="FFB8CCE4"/>
        </right>
        <top style="thin">
          <color rgb="FFB8CCE4"/>
        </top>
        <bottom style="thin">
          <color rgb="FFB8CCE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8CCE4"/>
        </left>
        <right style="thin">
          <color rgb="FFB8CCE4"/>
        </right>
        <top style="thin">
          <color rgb="FFB8CCE4"/>
        </top>
        <bottom style="thin">
          <color rgb="FFB8CCE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8CCE4"/>
        </left>
        <right style="thin">
          <color rgb="FFB8CCE4"/>
        </right>
        <top style="thin">
          <color rgb="FFB8CCE4"/>
        </top>
        <bottom style="thin">
          <color rgb="FFB8CCE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8CCE4"/>
        </left>
        <right style="thin">
          <color rgb="FFB8CCE4"/>
        </right>
        <top style="thin">
          <color rgb="FFB8CCE4"/>
        </top>
        <bottom style="thin">
          <color rgb="FFB8CCE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8CCE4"/>
        </left>
        <right style="thin">
          <color rgb="FFB8CCE4"/>
        </right>
        <top style="thin">
          <color rgb="FFB8CCE4"/>
        </top>
        <bottom style="thin">
          <color rgb="FFB8CCE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rgb="FFB8CCE4"/>
        </right>
        <top style="thin">
          <color rgb="FFB8CCE4"/>
        </top>
        <bottom style="thin">
          <color rgb="FFB8CCE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8CCE4"/>
        </left>
        <right style="medium">
          <color indexed="64"/>
        </right>
        <top style="thin">
          <color rgb="FFB8CCE4"/>
        </top>
        <bottom style="thin">
          <color rgb="FFB8CCE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8CCE4"/>
        </left>
        <right style="thin">
          <color rgb="FFB8CCE4"/>
        </right>
        <top style="thin">
          <color rgb="FFB8CCE4"/>
        </top>
        <bottom style="thin">
          <color rgb="FFB8CCE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8CCE4"/>
        </left>
        <right style="thin">
          <color rgb="FFB8CCE4"/>
        </right>
        <top style="thin">
          <color rgb="FFB8CCE4"/>
        </top>
        <bottom style="thin">
          <color rgb="FFB8CCE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8CCE4"/>
        </left>
        <right style="thin">
          <color rgb="FFB8CCE4"/>
        </right>
        <top style="thin">
          <color rgb="FFB8CCE4"/>
        </top>
        <bottom style="thin">
          <color rgb="FFB8CCE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8CCE4"/>
        </left>
        <right style="thin">
          <color rgb="FFB8CCE4"/>
        </right>
        <top style="thin">
          <color rgb="FFB8CCE4"/>
        </top>
        <bottom style="thin">
          <color rgb="FFB8CCE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8CCE4"/>
        </left>
        <right style="thin">
          <color rgb="FFB8CCE4"/>
        </right>
        <top style="thin">
          <color rgb="FFB8CCE4"/>
        </top>
        <bottom style="thin">
          <color rgb="FFB8CCE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rgb="FFB8CCE4"/>
        </right>
        <top style="thin">
          <color rgb="FFB8CCE4"/>
        </top>
        <bottom style="thin">
          <color rgb="FFB8CCE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8CCE4"/>
        </left>
        <right style="medium">
          <color indexed="64"/>
        </right>
        <top style="thin">
          <color rgb="FFB8CCE4"/>
        </top>
        <bottom style="thin">
          <color rgb="FFB8CCE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8CCE4"/>
        </left>
        <right style="thin">
          <color rgb="FFB8CCE4"/>
        </right>
        <top style="thin">
          <color rgb="FFB8CCE4"/>
        </top>
        <bottom style="thin">
          <color rgb="FFB8CCE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8CCE4"/>
        </left>
        <right style="thin">
          <color rgb="FFB8CCE4"/>
        </right>
        <top style="thin">
          <color rgb="FFB8CCE4"/>
        </top>
        <bottom style="thin">
          <color rgb="FFB8CCE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8CCE4"/>
        </left>
        <right style="thin">
          <color rgb="FFB8CCE4"/>
        </right>
        <top style="thin">
          <color rgb="FFB8CCE4"/>
        </top>
        <bottom style="thin">
          <color rgb="FFB8CCE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8CCE4"/>
        </left>
        <right style="thin">
          <color rgb="FFB8CCE4"/>
        </right>
        <top style="thin">
          <color rgb="FFB8CCE4"/>
        </top>
        <bottom style="thin">
          <color rgb="FFB8CCE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8CCE4"/>
        </left>
        <right style="thin">
          <color rgb="FFB8CCE4"/>
        </right>
        <top style="thin">
          <color rgb="FFB8CCE4"/>
        </top>
        <bottom style="thin">
          <color rgb="FFB8CCE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rgb="FFB8CCE4"/>
        </right>
        <top style="thin">
          <color rgb="FFB8CCE4"/>
        </top>
        <bottom style="thin">
          <color rgb="FFB8CCE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8CCE4"/>
        </left>
        <right style="medium">
          <color indexed="64"/>
        </right>
        <top style="thin">
          <color rgb="FFB8CCE4"/>
        </top>
        <bottom style="thin">
          <color rgb="FFB8CCE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8CCE4"/>
        </left>
        <right style="thin">
          <color rgb="FFB8CCE4"/>
        </right>
        <top style="thin">
          <color rgb="FFB8CCE4"/>
        </top>
        <bottom style="thin">
          <color rgb="FFB8CCE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8CCE4"/>
        </left>
        <right style="thin">
          <color rgb="FFB8CCE4"/>
        </right>
        <top style="thin">
          <color rgb="FFB8CCE4"/>
        </top>
        <bottom style="thin">
          <color rgb="FFB8CCE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8CCE4"/>
        </left>
        <right style="thin">
          <color rgb="FFB8CCE4"/>
        </right>
        <top style="thin">
          <color rgb="FFB8CCE4"/>
        </top>
        <bottom style="thin">
          <color rgb="FFB8CCE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8CCE4"/>
        </left>
        <right style="thin">
          <color rgb="FFB8CCE4"/>
        </right>
        <top style="thin">
          <color rgb="FFB8CCE4"/>
        </top>
        <bottom style="thin">
          <color rgb="FFB8CCE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8CCE4"/>
        </left>
        <right style="thin">
          <color rgb="FFB8CCE4"/>
        </right>
        <top style="thin">
          <color rgb="FFB8CCE4"/>
        </top>
        <bottom style="thin">
          <color rgb="FFB8CCE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rgb="FFB8CCE4"/>
        </right>
        <top style="thin">
          <color rgb="FFB8CCE4"/>
        </top>
        <bottom style="thin">
          <color rgb="FFB8CCE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8CCE4"/>
        </left>
        <right/>
        <top style="thin">
          <color rgb="FFB8CCE4"/>
        </top>
        <bottom style="thin">
          <color rgb="FFB8CCE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8CCE4"/>
        </left>
        <right style="thin">
          <color rgb="FFB8CCE4"/>
        </right>
        <top style="thin">
          <color rgb="FFB8CCE4"/>
        </top>
        <bottom style="thin">
          <color rgb="FFB8CCE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8CCE4"/>
        </left>
        <right style="thin">
          <color rgb="FFB8CCE4"/>
        </right>
        <top style="thin">
          <color rgb="FFB8CCE4"/>
        </top>
        <bottom style="thin">
          <color rgb="FFB8CCE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375623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8CCE4"/>
        </left>
        <right style="thin">
          <color rgb="FFB8CCE4"/>
        </right>
        <top style="thin">
          <color rgb="FFB8CCE4"/>
        </top>
        <bottom style="thin">
          <color rgb="FFB8CCE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8CCE4"/>
        </left>
        <right style="thin">
          <color rgb="FFB8CCE4"/>
        </right>
        <top style="thin">
          <color rgb="FFB8CCE4"/>
        </top>
        <bottom style="thin">
          <color rgb="FFB8CCE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4" formatCode="#,##0.00"/>
      <alignment horizontal="right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rgb="FFB8CCE4"/>
        </right>
        <top style="thin">
          <color rgb="FFB8CCE4"/>
        </top>
        <bottom style="thin">
          <color rgb="FFB8CCE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rgb="FFB8CCE4"/>
        </right>
        <top style="thin">
          <color rgb="FFB8CCE4"/>
        </top>
        <bottom style="thin">
          <color rgb="FFB8CCE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4" formatCode="#,##0.00"/>
      <alignment horizontal="right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thin">
          <color rgb="FFB8CCE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8CCE4"/>
        </left>
        <right style="thin">
          <color rgb="FFB8CCE4"/>
        </right>
        <top/>
        <bottom style="thin">
          <color rgb="FFB8CCE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8CCE4"/>
        </left>
        <right style="thin">
          <color rgb="FFB8CCE4"/>
        </right>
        <top/>
        <bottom style="thin">
          <color rgb="FFB8CCE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8CCE4"/>
        </left>
        <right style="thin">
          <color rgb="FFB8CCE4"/>
        </right>
        <top/>
        <bottom style="thin">
          <color rgb="FFB8CCE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8CCE4"/>
        </left>
        <right style="thin">
          <color rgb="FFB8CCE4"/>
        </right>
        <top/>
        <bottom style="thin">
          <color rgb="FFB8CCE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8CCE4"/>
        </left>
        <right style="thin">
          <color rgb="FFB8CCE4"/>
        </right>
        <top/>
        <bottom style="thin">
          <color rgb="FFB8CCE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8CCE4"/>
        </left>
        <right style="thin">
          <color rgb="FFB8CCE4"/>
        </right>
        <top/>
        <bottom style="thin">
          <color rgb="FFB8CCE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8CCE4"/>
        </left>
        <right style="thin">
          <color rgb="FFB8CCE4"/>
        </right>
        <top/>
        <bottom style="thin">
          <color rgb="FFB8CCE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8CCE4"/>
        </left>
        <right style="thin">
          <color rgb="FFB8CCE4"/>
        </right>
        <top/>
        <bottom style="thin">
          <color rgb="FFB8CCE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8CCE4"/>
        </left>
        <right style="thin">
          <color rgb="FFB8CCE4"/>
        </right>
        <top/>
        <bottom style="thin">
          <color rgb="FFB8CCE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8CCE4"/>
        </left>
        <right style="thin">
          <color rgb="FFB8CCE4"/>
        </right>
        <top/>
        <bottom style="thin">
          <color rgb="FFB8CCE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0" formatCode="General"/>
      <alignment horizontal="left" vertical="center" textRotation="0" wrapText="1" indent="0" justifyLastLine="0" shrinkToFit="0" readingOrder="0"/>
      <border diagonalUp="0" diagonalDown="0">
        <left style="thin">
          <color rgb="FFB8CCE4"/>
        </left>
        <right style="thin">
          <color rgb="FFB8CCE4"/>
        </right>
        <top/>
        <bottom style="thin">
          <color rgb="FFB8CCE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0" formatCode="General"/>
      <alignment horizontal="left" vertical="center" textRotation="0" wrapText="1" indent="0" justifyLastLine="0" shrinkToFit="0" readingOrder="0"/>
      <border diagonalUp="0" diagonalDown="0">
        <left style="thin">
          <color rgb="FFB8CCE4"/>
        </left>
        <right style="thin">
          <color rgb="FFB8CCE4"/>
        </right>
        <top/>
        <bottom style="thin">
          <color rgb="FFB8CCE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8CCE4"/>
        </left>
        <right style="thin">
          <color rgb="FFB8CCE4"/>
        </right>
        <top/>
        <bottom style="thin">
          <color rgb="FFB8CCE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8CCE4"/>
        </left>
        <right style="thin">
          <color rgb="FFB8CCE4"/>
        </right>
        <top style="thin">
          <color rgb="FFB8CCE4"/>
        </top>
        <bottom style="thin">
          <color rgb="FFB8CCE4"/>
        </bottom>
        <vertical/>
        <horizontal/>
      </border>
    </dxf>
    <dxf>
      <border outline="0">
        <right style="medium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1F3864"/>
        <name val="Arial"/>
        <family val="2"/>
        <scheme val="none"/>
      </font>
      <fill>
        <patternFill patternType="solid">
          <fgColor rgb="FFB8CCE4"/>
          <bgColor rgb="FFBDD7EE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8CCE4"/>
      <rgbColor rgb="FF808080"/>
      <rgbColor rgb="FF9999FF"/>
      <rgbColor rgb="FF993366"/>
      <rgbColor rgb="FFFFF2CC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5483B9-C1E5-47CB-950D-025857995923}" name="Table1" displayName="Table1" ref="A2:CW23" totalsRowShown="0" headerRowDxfId="122" dataDxfId="121" tableBorderDxfId="120">
  <autoFilter ref="A2:CW23" xr:uid="{A75483B9-C1E5-47CB-950D-025857995923}"/>
  <tableColumns count="101">
    <tableColumn id="1" xr3:uid="{3CBF5BA2-F778-4858-8D82-9238AEE9BE90}" name="2026#" dataDxfId="119"/>
    <tableColumn id="2" xr3:uid="{B0787CC7-0206-4B78-9C95-DE7B94D937ED}" name="Customer" dataDxfId="118"/>
    <tableColumn id="3" xr3:uid="{168149BA-ADEC-47AB-82DD-C9700F0560C6}" name="Country" dataDxfId="117">
      <calculatedColumnFormula>_xlfn.XLOOKUP(Table1[[#This Row],[Customer]], 'Cust Data'!D:D, 'Cust Data'!E:E, "N/A")</calculatedColumnFormula>
    </tableColumn>
    <tableColumn id="4" xr3:uid="{CF5FD638-32B4-475E-8DDD-836686FAD771}" name="Customer #" dataDxfId="116">
      <calculatedColumnFormula>_xlfn.XLOOKUP(Table1[[#This Row],[Customer]], 'Cust Data'!D:D, 'Cust Data'!C:C, "N/A")</calculatedColumnFormula>
    </tableColumn>
    <tableColumn id="5" xr3:uid="{AAF0155C-959D-4E5B-9A92-E03629177D99}" name="Advising Bank" dataDxfId="115"/>
    <tableColumn id="6" xr3:uid="{7E63859E-FBE6-4F2E-BA9B-0CF511280562}" name="Advising Bank #" dataDxfId="114"/>
    <tableColumn id="7" xr3:uid="{296AD931-CCD1-4F3A-AEC0-B96C98FA3C6C}" name="Payment Term" dataDxfId="113"/>
    <tableColumn id="8" xr3:uid="{6C102195-97C3-4399-ADEB-E27AE53B6858}" name="Issuing Bank2" dataDxfId="112"/>
    <tableColumn id="9" xr3:uid="{F47FD7C8-BB9E-464B-B34F-BF0EB948176D}" name="Issuing Bank #2" dataDxfId="111"/>
    <tableColumn id="10" xr3:uid="{07DD4116-7714-4E46-BFF1-231A07782E02}" name="Issuance Date" dataDxfId="110"/>
    <tableColumn id="11" xr3:uid="{52DF7BD1-F3B6-45F2-8C62-26FA7C24AD06}" name="Expiry Date" dataDxfId="109"/>
    <tableColumn id="12" xr3:uid="{32E45740-D3E6-4C6A-BC32-15B66F9ABB1C}" name="Latest Date O/S" dataDxfId="108"/>
    <tableColumn id="13" xr3:uid="{D03061E9-365D-4732-B505-ECEFA3511D39}" name="Sight / Deferred" dataDxfId="107"/>
    <tableColumn id="14" xr3:uid="{A56ABBBE-4963-4553-BBF9-973A6C1E5088}" name="CCY" dataDxfId="106"/>
    <tableColumn id="15" xr3:uid="{4B748378-17C9-4275-9A54-739A5AAD57BD}" name="LC Value (USD)" dataDxfId="105"/>
    <tableColumn id="16" xr3:uid="{1CC94607-00D7-4F59-B862-17D45BF9CD77}" name="Inv Number" dataDxfId="104"/>
    <tableColumn id="17" xr3:uid="{6D012CC6-0295-4364-B74A-25662C709A6C}" name="Value" dataDxfId="103"/>
    <tableColumn id="18" xr3:uid="{82878E23-669E-4592-845B-7FA0AC10544E}" name="Pres. Date" dataDxfId="102"/>
    <tableColumn id="19" xr3:uid="{7D41EDDD-72E3-43D0-89ED-181E15F4F95F}" name="Status" dataDxfId="101"/>
    <tableColumn id="20" xr3:uid="{C8647B37-9421-48E7-8D83-233F602FF655}" name="Coll. Date" dataDxfId="100"/>
    <tableColumn id="21" xr3:uid="{0774D8E1-BDE9-4838-87E0-5930E9FC22D2}" name="Due Date" dataDxfId="99"/>
    <tableColumn id="22" xr3:uid="{D15CEB35-5B76-4CEA-B79B-1419104FFD21}" name="Tracking #" dataDxfId="98"/>
    <tableColumn id="23" xr3:uid="{8634A3E2-D899-4A59-84C5-350AE57F2ED1}" name="Inv Number2" dataDxfId="97"/>
    <tableColumn id="24" xr3:uid="{C0AA53DF-1AC1-4A47-83A1-2FC789B41E0A}" name="Value3" dataDxfId="96"/>
    <tableColumn id="25" xr3:uid="{02508E84-9ED5-4C46-8640-F5F9B9CC36FE}" name="Pres. Date4" dataDxfId="95"/>
    <tableColumn id="26" xr3:uid="{9A7EC637-DD86-4527-B92A-833ACB853E92}" name="Status5" dataDxfId="94"/>
    <tableColumn id="27" xr3:uid="{ABC64E55-35CD-4BA2-902F-8F128D73DED7}" name="Coll. Date6" dataDxfId="93"/>
    <tableColumn id="28" xr3:uid="{21FA6339-3529-40D7-A9D7-216230CAB65B}" name="Due Date7" dataDxfId="92"/>
    <tableColumn id="29" xr3:uid="{476A8547-B609-49E0-B960-FDFEF7C457B1}" name="Tracking #8" dataDxfId="91"/>
    <tableColumn id="30" xr3:uid="{F43154E6-59B8-40DE-AC9C-1A3010C239CB}" name="Inv Number9" dataDxfId="90"/>
    <tableColumn id="31" xr3:uid="{3DE0C74C-ADD5-4545-B5F3-833A2EC3CC39}" name="Value10" dataDxfId="89"/>
    <tableColumn id="32" xr3:uid="{52DFC5BE-21B0-4C76-9449-507926773F0D}" name="Pres. Date11" dataDxfId="88"/>
    <tableColumn id="33" xr3:uid="{BC8ADE40-61E5-4686-BC89-4D71D5AD6F0F}" name="Status12" dataDxfId="87"/>
    <tableColumn id="34" xr3:uid="{22468965-7355-453C-90F7-FC21EA5F26CC}" name="Coll. Date13" dataDxfId="86"/>
    <tableColumn id="35" xr3:uid="{E4ECE90C-0E9F-4415-83D1-E9C8C8F54CE2}" name="Due Date14" dataDxfId="85"/>
    <tableColumn id="36" xr3:uid="{EB9CE0F0-C9C6-429C-BC33-225092A73A49}" name="Tracking #15" dataDxfId="84"/>
    <tableColumn id="37" xr3:uid="{D4A6E34C-B95A-4C2A-B832-5D1F3B953368}" name="Inv Number16" dataDxfId="83"/>
    <tableColumn id="38" xr3:uid="{1EBC1AAB-2A8A-45C4-9ED7-FF96815E0F07}" name="Value17" dataDxfId="82"/>
    <tableColumn id="39" xr3:uid="{49C107AB-E7C8-4759-B6EE-2D3223654723}" name="Pres. Date18" dataDxfId="81"/>
    <tableColumn id="40" xr3:uid="{620B06F7-4B54-491B-9BAE-6F41CC2AACC3}" name="Status19" dataDxfId="80"/>
    <tableColumn id="41" xr3:uid="{7BF44C5C-F7B2-4064-95C3-285EE74E8EC8}" name="Coll. Date20" dataDxfId="79"/>
    <tableColumn id="42" xr3:uid="{3BAABEC4-44AE-4C83-A56B-F051375B2524}" name="Due Date21" dataDxfId="78"/>
    <tableColumn id="43" xr3:uid="{A30C0AAA-42CF-4D8D-9ED6-2522871982A2}" name="Tracking #22" dataDxfId="77"/>
    <tableColumn id="44" xr3:uid="{D5A838F6-B007-4B74-8F7B-13A9F1C5F6FE}" name="Inv Number23" dataDxfId="76"/>
    <tableColumn id="45" xr3:uid="{DA7360BA-D70F-4B13-8357-3278ECAEC0F4}" name="Value24" dataDxfId="75"/>
    <tableColumn id="46" xr3:uid="{A5744B58-62A9-4B78-A926-C88CE6BA6E46}" name="Pres. Date25" dataDxfId="74"/>
    <tableColumn id="47" xr3:uid="{E951050A-0730-496C-B259-7A03EDD8F909}" name="Status26" dataDxfId="73"/>
    <tableColumn id="48" xr3:uid="{24C4A5DC-967E-4D20-BEBF-48ADEDAEDE43}" name="Coll. Date27" dataDxfId="72"/>
    <tableColumn id="49" xr3:uid="{FC4A166B-426F-48B9-8E79-E76044F75F52}" name="Due Date28" dataDxfId="71"/>
    <tableColumn id="50" xr3:uid="{1F8DEBC3-BE69-469F-B3DE-F4625CFA95C7}" name="Tracking #29" dataDxfId="70"/>
    <tableColumn id="51" xr3:uid="{EC25EA70-067C-434A-A664-E6A54E182795}" name="Inv Number30" dataDxfId="69"/>
    <tableColumn id="52" xr3:uid="{95C2B0FC-1A97-4A50-9BFB-90506348B987}" name="Value31" dataDxfId="68"/>
    <tableColumn id="53" xr3:uid="{4D8EDDCC-B84B-4003-A8FA-8C93B1B20488}" name="Pres. Date32" dataDxfId="67"/>
    <tableColumn id="54" xr3:uid="{0ADD957A-BB3F-4601-9CF3-0BAB723F2E74}" name="Status33" dataDxfId="66"/>
    <tableColumn id="55" xr3:uid="{B0617477-FA68-4407-B002-4A63C0D9DE62}" name="Coll. Date34" dataDxfId="65"/>
    <tableColumn id="56" xr3:uid="{1868CE46-E75A-4BBE-B043-8E93DA1F7238}" name="Due Date35" dataDxfId="64"/>
    <tableColumn id="57" xr3:uid="{0E179813-EF33-4802-8CA8-10CDDC955DEA}" name="Tracking #36" dataDxfId="63"/>
    <tableColumn id="58" xr3:uid="{E6F92D0D-B533-4F93-97A0-4ABBB3D4BBE1}" name="Inv Number37" dataDxfId="62"/>
    <tableColumn id="59" xr3:uid="{DD4659BA-B1A0-4FAE-8820-8749A8D7779B}" name="Value38" dataDxfId="61"/>
    <tableColumn id="60" xr3:uid="{A19AC232-63D4-484C-9A9A-9E8E132381CD}" name="Pres. Date39" dataDxfId="60"/>
    <tableColumn id="61" xr3:uid="{5498400B-C8BC-4434-A61E-41F581FD2A08}" name="Status40" dataDxfId="59"/>
    <tableColumn id="62" xr3:uid="{A74DDA20-AE33-48C6-8F3B-DDEF061F23BD}" name="Coll. Date41" dataDxfId="58"/>
    <tableColumn id="63" xr3:uid="{E559A962-34BE-441B-896B-279D2CEEE0B1}" name="Due Date42" dataDxfId="57"/>
    <tableColumn id="64" xr3:uid="{87E248AE-79FD-4A45-9C87-30FFD120D326}" name="Tracking #43" dataDxfId="56"/>
    <tableColumn id="65" xr3:uid="{354912FC-3F41-499C-AA66-6536876ABDBA}" name="Inv Number44" dataDxfId="55"/>
    <tableColumn id="66" xr3:uid="{6D53D451-4188-4CB3-A87E-EB2BABD2E69A}" name="Value45" dataDxfId="54"/>
    <tableColumn id="67" xr3:uid="{0088FF6B-F0DD-44DC-9AF6-7718FDDB5C23}" name="Pres. Date46" dataDxfId="53"/>
    <tableColumn id="68" xr3:uid="{563DE164-78F3-452D-BBFD-EAA418D212C8}" name="Status47" dataDxfId="52"/>
    <tableColumn id="69" xr3:uid="{288363B0-24CD-4E5F-B77A-A384B759F877}" name="Coll. Date48" dataDxfId="51"/>
    <tableColumn id="70" xr3:uid="{B436CDD5-8C42-42DF-A904-125E1DBF947A}" name="Due Date49" dataDxfId="50"/>
    <tableColumn id="71" xr3:uid="{37E72C5A-B438-49BF-9DB9-22AFB78A0C8C}" name="Tracking #50" dataDxfId="49"/>
    <tableColumn id="72" xr3:uid="{174BD51A-868B-4CF8-B0A3-B88F93AD19AE}" name="Inv Number51" dataDxfId="48"/>
    <tableColumn id="73" xr3:uid="{BD2180F0-47F3-4AD9-A8ED-E539DA5553A0}" name="Value52" dataDxfId="47"/>
    <tableColumn id="74" xr3:uid="{30CAFF39-E421-414B-9A49-2F43B9C75417}" name="Pres. Date53" dataDxfId="46"/>
    <tableColumn id="75" xr3:uid="{458AC8D4-D10F-40F1-B06E-EE07C5550834}" name="Status54" dataDxfId="45"/>
    <tableColumn id="76" xr3:uid="{3D385C98-13E0-472B-B0FF-A171F4842446}" name="Coll. Date55" dataDxfId="44"/>
    <tableColumn id="77" xr3:uid="{2F19D270-9CA9-462F-A824-1F03D0AB19A8}" name="Due Date56" dataDxfId="43"/>
    <tableColumn id="78" xr3:uid="{9E1D540E-1C6C-45F1-8B92-507006901112}" name="Tracking #57" dataDxfId="42"/>
    <tableColumn id="79" xr3:uid="{674F4CC2-07D4-41BB-BFDC-E7D3AEBED57D}" name="Inv Number58" dataDxfId="41"/>
    <tableColumn id="80" xr3:uid="{8E4533C7-D6C0-4FC2-A7CD-8C548DB7EEB0}" name="Value59" dataDxfId="40"/>
    <tableColumn id="81" xr3:uid="{CF6D65E7-9402-472E-8534-B96EC548E485}" name="Pres. Date60" dataDxfId="39"/>
    <tableColumn id="82" xr3:uid="{02286377-0F19-4B28-9D81-9AE865D57909}" name="Status61" dataDxfId="38"/>
    <tableColumn id="83" xr3:uid="{CD680E22-F4B0-4E5F-B075-D9E7F14659B8}" name="Coll. Date62" dataDxfId="37"/>
    <tableColumn id="84" xr3:uid="{642AFFD1-AD7B-4A58-81BD-9EBF49D771C8}" name="Due Date63" dataDxfId="36"/>
    <tableColumn id="85" xr3:uid="{9921FBEA-1497-4D84-9750-4D97CCDE1478}" name="Tracking #64" dataDxfId="35"/>
    <tableColumn id="86" xr3:uid="{7A14F8EE-4A5A-4E80-B81A-6CEBEC56FD81}" name="Inv Number65" dataDxfId="34"/>
    <tableColumn id="87" xr3:uid="{1DE155C0-5CEB-4DCB-8D5C-FA4A283FD752}" name="Value66" dataDxfId="33"/>
    <tableColumn id="88" xr3:uid="{ADE108E7-AD57-4650-941F-B98DCC298A48}" name="Pres. Date67" dataDxfId="32"/>
    <tableColumn id="89" xr3:uid="{6E11BC29-DE00-4D9D-A76A-FEC3816C3A2E}" name="Status68" dataDxfId="31"/>
    <tableColumn id="90" xr3:uid="{C4E86EB8-145E-4D0B-B3FA-57AE901E0E9B}" name="Coll. Date69" dataDxfId="30"/>
    <tableColumn id="91" xr3:uid="{2AD343F5-3702-4351-AA45-0D447A1D473A}" name="Due Date70" dataDxfId="29"/>
    <tableColumn id="92" xr3:uid="{E64FCD99-D8EE-4CE3-8B02-1523E66FE002}" name="Tracking #71" dataDxfId="28"/>
    <tableColumn id="93" xr3:uid="{01C4800D-F2C5-41F4-B954-17A1970FDA47}" name="Inv Number72" dataDxfId="27"/>
    <tableColumn id="94" xr3:uid="{90129374-015C-4470-8623-FD60897912C3}" name="Value73" dataDxfId="26"/>
    <tableColumn id="95" xr3:uid="{36BED847-7FE0-45A3-8151-C40C2D479CC3}" name="Pres. Date74" dataDxfId="25"/>
    <tableColumn id="96" xr3:uid="{99F2FF65-ABFE-4BAB-B06D-206FE8B4E99B}" name="Status75" dataDxfId="24"/>
    <tableColumn id="97" xr3:uid="{07FD38BA-B638-41B3-990F-13428B5FE228}" name="Coll. Date76" dataDxfId="23"/>
    <tableColumn id="98" xr3:uid="{BDD59505-0109-4029-8720-450CD27C6A85}" name="Due Date77" dataDxfId="22"/>
    <tableColumn id="99" xr3:uid="{1A8FC651-F28A-4811-A12F-65096B5C7AD8}" name="Tracking #78" dataDxfId="21"/>
    <tableColumn id="101" xr3:uid="{797D2EBC-C072-4A6B-8F9E-D08BACD34491}" name="Total Presented" dataDxfId="20"/>
    <tableColumn id="100" xr3:uid="{E0EAE5FC-DD67-4B0B-9EDA-8B18F9B07A21}" name="Total" dataDxfId="1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1F3864"/>
  </sheetPr>
  <dimension ref="A1:CW26"/>
  <sheetViews>
    <sheetView showGridLines="0" tabSelected="1" topLeftCell="L1" zoomScaleNormal="100" workbookViewId="0">
      <pane ySplit="3" topLeftCell="A4" activePane="bottomLeft" state="frozen"/>
      <selection pane="bottomLeft" activeCell="T10" sqref="T10"/>
    </sheetView>
  </sheetViews>
  <sheetFormatPr defaultColWidth="8.140625" defaultRowHeight="15" x14ac:dyDescent="0.25"/>
  <cols>
    <col min="1" max="1" width="9.7109375" bestFit="1" customWidth="1"/>
    <col min="2" max="2" width="31" bestFit="1" customWidth="1"/>
    <col min="3" max="3" width="10.7109375" bestFit="1" customWidth="1"/>
    <col min="4" max="4" width="13.140625" bestFit="1" customWidth="1"/>
    <col min="5" max="5" width="15.28515625" bestFit="1" customWidth="1"/>
    <col min="6" max="6" width="22" bestFit="1" customWidth="1"/>
    <col min="7" max="7" width="14.140625" customWidth="1"/>
    <col min="8" max="8" width="20.28515625" bestFit="1" customWidth="1"/>
    <col min="9" max="9" width="18" bestFit="1" customWidth="1"/>
    <col min="10" max="10" width="15" bestFit="1" customWidth="1"/>
    <col min="11" max="11" width="13.28515625" bestFit="1" customWidth="1"/>
    <col min="12" max="12" width="16.140625" bestFit="1" customWidth="1"/>
    <col min="13" max="13" width="8.28515625" customWidth="1"/>
    <col min="14" max="14" width="4.42578125" customWidth="1"/>
    <col min="15" max="15" width="16" bestFit="1" customWidth="1"/>
    <col min="16" max="16" width="13.28515625" bestFit="1" customWidth="1"/>
    <col min="17" max="17" width="11" bestFit="1" customWidth="1"/>
    <col min="18" max="18" width="12.42578125" bestFit="1" customWidth="1"/>
    <col min="19" max="19" width="9.5703125" bestFit="1" customWidth="1"/>
    <col min="20" max="20" width="12.140625" bestFit="1" customWidth="1"/>
    <col min="21" max="21" width="11.7109375" bestFit="1" customWidth="1"/>
    <col min="22" max="22" width="12.5703125" bestFit="1" customWidth="1"/>
    <col min="23" max="23" width="14.140625" bestFit="1" customWidth="1"/>
    <col min="24" max="24" width="11" bestFit="1" customWidth="1"/>
    <col min="25" max="25" width="13.28515625" bestFit="1" customWidth="1"/>
    <col min="26" max="26" width="10.28515625" bestFit="1" customWidth="1"/>
    <col min="27" max="27" width="12.85546875" bestFit="1" customWidth="1"/>
    <col min="28" max="28" width="12.42578125" bestFit="1" customWidth="1"/>
    <col min="29" max="29" width="13.28515625" bestFit="1" customWidth="1"/>
    <col min="30" max="30" width="14.140625" bestFit="1" customWidth="1"/>
    <col min="31" max="31" width="10.85546875" bestFit="1" customWidth="1"/>
    <col min="32" max="32" width="14" bestFit="1" customWidth="1"/>
    <col min="33" max="33" width="11.140625" bestFit="1" customWidth="1"/>
    <col min="34" max="34" width="13.7109375" bestFit="1" customWidth="1"/>
    <col min="35" max="35" width="13.28515625" bestFit="1" customWidth="1"/>
    <col min="36" max="36" width="14.140625" bestFit="1" customWidth="1"/>
    <col min="37" max="37" width="14.85546875" bestFit="1" customWidth="1"/>
    <col min="38" max="38" width="10.85546875" bestFit="1" customWidth="1"/>
    <col min="39" max="39" width="14" bestFit="1" customWidth="1"/>
    <col min="40" max="40" width="11.140625" bestFit="1" customWidth="1"/>
    <col min="41" max="41" width="13.7109375" bestFit="1" customWidth="1"/>
    <col min="42" max="42" width="13.28515625" bestFit="1" customWidth="1"/>
    <col min="43" max="43" width="14.140625" bestFit="1" customWidth="1"/>
    <col min="44" max="44" width="14.85546875" bestFit="1" customWidth="1"/>
    <col min="45" max="45" width="10.85546875" bestFit="1" customWidth="1"/>
    <col min="46" max="46" width="14" bestFit="1" customWidth="1"/>
    <col min="47" max="47" width="11.140625" bestFit="1" customWidth="1"/>
    <col min="48" max="48" width="13.7109375" bestFit="1" customWidth="1"/>
    <col min="49" max="49" width="13.28515625" bestFit="1" customWidth="1"/>
    <col min="50" max="50" width="14.140625" bestFit="1" customWidth="1"/>
    <col min="51" max="51" width="14.85546875" bestFit="1" customWidth="1"/>
    <col min="52" max="52" width="10.85546875" bestFit="1" customWidth="1"/>
    <col min="53" max="53" width="14" bestFit="1" customWidth="1"/>
    <col min="54" max="54" width="11.140625" bestFit="1" customWidth="1"/>
    <col min="55" max="55" width="13.7109375" bestFit="1" customWidth="1"/>
    <col min="56" max="56" width="13.28515625" bestFit="1" customWidth="1"/>
    <col min="57" max="57" width="14.140625" bestFit="1" customWidth="1"/>
    <col min="58" max="58" width="14.85546875" bestFit="1" customWidth="1"/>
    <col min="59" max="59" width="10.85546875" bestFit="1" customWidth="1"/>
    <col min="60" max="60" width="14" bestFit="1" customWidth="1"/>
    <col min="61" max="61" width="11.140625" bestFit="1" customWidth="1"/>
    <col min="62" max="62" width="13.7109375" bestFit="1" customWidth="1"/>
    <col min="63" max="63" width="13.28515625" bestFit="1" customWidth="1"/>
    <col min="64" max="64" width="14.140625" bestFit="1" customWidth="1"/>
    <col min="65" max="65" width="14.85546875" bestFit="1" customWidth="1"/>
    <col min="66" max="66" width="10.85546875" bestFit="1" customWidth="1"/>
    <col min="67" max="67" width="14" bestFit="1" customWidth="1"/>
    <col min="68" max="68" width="11.140625" bestFit="1" customWidth="1"/>
    <col min="69" max="69" width="13.7109375" bestFit="1" customWidth="1"/>
    <col min="70" max="70" width="13.28515625" bestFit="1" customWidth="1"/>
    <col min="71" max="71" width="14.140625" bestFit="1" customWidth="1"/>
    <col min="72" max="72" width="14.85546875" bestFit="1" customWidth="1"/>
    <col min="73" max="73" width="10.85546875" bestFit="1" customWidth="1"/>
    <col min="74" max="74" width="14" bestFit="1" customWidth="1"/>
    <col min="75" max="75" width="11.140625" bestFit="1" customWidth="1"/>
    <col min="76" max="76" width="13.7109375" bestFit="1" customWidth="1"/>
    <col min="77" max="77" width="13.28515625" bestFit="1" customWidth="1"/>
    <col min="78" max="78" width="14.140625" bestFit="1" customWidth="1"/>
    <col min="79" max="79" width="14.85546875" bestFit="1" customWidth="1"/>
    <col min="80" max="80" width="10.85546875" bestFit="1" customWidth="1"/>
    <col min="81" max="81" width="14" bestFit="1" customWidth="1"/>
    <col min="82" max="82" width="11.140625" bestFit="1" customWidth="1"/>
    <col min="83" max="83" width="13.7109375" bestFit="1" customWidth="1"/>
    <col min="84" max="84" width="13.28515625" bestFit="1" customWidth="1"/>
    <col min="85" max="85" width="14.140625" bestFit="1" customWidth="1"/>
    <col min="86" max="86" width="14.85546875" bestFit="1" customWidth="1"/>
    <col min="87" max="87" width="10.85546875" bestFit="1" customWidth="1"/>
    <col min="88" max="88" width="14" bestFit="1" customWidth="1"/>
    <col min="89" max="89" width="11.140625" bestFit="1" customWidth="1"/>
    <col min="90" max="90" width="13.7109375" bestFit="1" customWidth="1"/>
    <col min="91" max="91" width="13.28515625" bestFit="1" customWidth="1"/>
    <col min="92" max="92" width="14.140625" bestFit="1" customWidth="1"/>
    <col min="93" max="93" width="14.85546875" bestFit="1" customWidth="1"/>
    <col min="94" max="94" width="10.85546875" bestFit="1" customWidth="1"/>
    <col min="95" max="95" width="14" bestFit="1" customWidth="1"/>
    <col min="96" max="96" width="11.140625" bestFit="1" customWidth="1"/>
    <col min="97" max="97" width="13.7109375" bestFit="1" customWidth="1"/>
    <col min="98" max="98" width="13.28515625" bestFit="1" customWidth="1"/>
    <col min="99" max="99" width="14.140625" bestFit="1" customWidth="1"/>
    <col min="100" max="100" width="16.28515625" bestFit="1" customWidth="1"/>
    <col min="101" max="101" width="11.7109375" bestFit="1" customWidth="1"/>
  </cols>
  <sheetData>
    <row r="1" spans="1:101" ht="18" x14ac:dyDescent="0.25">
      <c r="A1" s="140" t="s">
        <v>0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  <c r="AJ1" s="140"/>
    </row>
    <row r="2" spans="1:101" ht="23.25" thickBot="1" x14ac:dyDescent="0.3">
      <c r="A2" s="32" t="s">
        <v>124</v>
      </c>
      <c r="B2" s="40" t="s">
        <v>1</v>
      </c>
      <c r="C2" s="40" t="s">
        <v>2</v>
      </c>
      <c r="D2" s="40" t="s">
        <v>3</v>
      </c>
      <c r="E2" s="40" t="s">
        <v>5</v>
      </c>
      <c r="F2" s="40" t="s">
        <v>6</v>
      </c>
      <c r="G2" s="40" t="s">
        <v>4</v>
      </c>
      <c r="H2" s="40" t="s">
        <v>204</v>
      </c>
      <c r="I2" s="40" t="s">
        <v>205</v>
      </c>
      <c r="J2" s="40" t="s">
        <v>7</v>
      </c>
      <c r="K2" s="40" t="s">
        <v>8</v>
      </c>
      <c r="L2" s="40" t="s">
        <v>9</v>
      </c>
      <c r="M2" s="40" t="s">
        <v>10</v>
      </c>
      <c r="N2" s="40" t="s">
        <v>11</v>
      </c>
      <c r="O2" s="41" t="s">
        <v>12</v>
      </c>
      <c r="P2" s="30" t="s">
        <v>13</v>
      </c>
      <c r="Q2" s="30" t="s">
        <v>14</v>
      </c>
      <c r="R2" s="30" t="s">
        <v>15</v>
      </c>
      <c r="S2" s="30" t="s">
        <v>16</v>
      </c>
      <c r="T2" s="30" t="s">
        <v>17</v>
      </c>
      <c r="U2" s="30" t="s">
        <v>18</v>
      </c>
      <c r="V2" s="30" t="s">
        <v>19</v>
      </c>
      <c r="W2" s="52" t="s">
        <v>126</v>
      </c>
      <c r="X2" s="30" t="s">
        <v>127</v>
      </c>
      <c r="Y2" s="30" t="s">
        <v>128</v>
      </c>
      <c r="Z2" s="30" t="s">
        <v>129</v>
      </c>
      <c r="AA2" s="30" t="s">
        <v>130</v>
      </c>
      <c r="AB2" s="30" t="s">
        <v>131</v>
      </c>
      <c r="AC2" s="30" t="s">
        <v>132</v>
      </c>
      <c r="AD2" s="30" t="s">
        <v>133</v>
      </c>
      <c r="AE2" s="30" t="s">
        <v>134</v>
      </c>
      <c r="AF2" s="30" t="s">
        <v>135</v>
      </c>
      <c r="AG2" s="30" t="s">
        <v>136</v>
      </c>
      <c r="AH2" s="30" t="s">
        <v>137</v>
      </c>
      <c r="AI2" s="30" t="s">
        <v>138</v>
      </c>
      <c r="AJ2" s="30" t="s">
        <v>139</v>
      </c>
      <c r="AK2" s="30" t="s">
        <v>140</v>
      </c>
      <c r="AL2" s="30" t="s">
        <v>141</v>
      </c>
      <c r="AM2" s="30" t="s">
        <v>142</v>
      </c>
      <c r="AN2" s="30" t="s">
        <v>143</v>
      </c>
      <c r="AO2" s="30" t="s">
        <v>144</v>
      </c>
      <c r="AP2" s="30" t="s">
        <v>145</v>
      </c>
      <c r="AQ2" s="30" t="s">
        <v>146</v>
      </c>
      <c r="AR2" s="30" t="s">
        <v>147</v>
      </c>
      <c r="AS2" s="30" t="s">
        <v>148</v>
      </c>
      <c r="AT2" s="30" t="s">
        <v>149</v>
      </c>
      <c r="AU2" s="30" t="s">
        <v>150</v>
      </c>
      <c r="AV2" s="30" t="s">
        <v>151</v>
      </c>
      <c r="AW2" s="30" t="s">
        <v>152</v>
      </c>
      <c r="AX2" s="30" t="s">
        <v>153</v>
      </c>
      <c r="AY2" s="30" t="s">
        <v>154</v>
      </c>
      <c r="AZ2" s="30" t="s">
        <v>155</v>
      </c>
      <c r="BA2" s="30" t="s">
        <v>156</v>
      </c>
      <c r="BB2" s="30" t="s">
        <v>157</v>
      </c>
      <c r="BC2" s="30" t="s">
        <v>158</v>
      </c>
      <c r="BD2" s="30" t="s">
        <v>159</v>
      </c>
      <c r="BE2" s="30" t="s">
        <v>160</v>
      </c>
      <c r="BF2" s="30" t="s">
        <v>161</v>
      </c>
      <c r="BG2" s="30" t="s">
        <v>162</v>
      </c>
      <c r="BH2" s="30" t="s">
        <v>163</v>
      </c>
      <c r="BI2" s="30" t="s">
        <v>164</v>
      </c>
      <c r="BJ2" s="30" t="s">
        <v>165</v>
      </c>
      <c r="BK2" s="30" t="s">
        <v>166</v>
      </c>
      <c r="BL2" s="30" t="s">
        <v>167</v>
      </c>
      <c r="BM2" s="30" t="s">
        <v>168</v>
      </c>
      <c r="BN2" s="30" t="s">
        <v>169</v>
      </c>
      <c r="BO2" s="30" t="s">
        <v>170</v>
      </c>
      <c r="BP2" s="30" t="s">
        <v>171</v>
      </c>
      <c r="BQ2" s="30" t="s">
        <v>172</v>
      </c>
      <c r="BR2" s="30" t="s">
        <v>173</v>
      </c>
      <c r="BS2" s="30" t="s">
        <v>174</v>
      </c>
      <c r="BT2" s="30" t="s">
        <v>175</v>
      </c>
      <c r="BU2" s="30" t="s">
        <v>176</v>
      </c>
      <c r="BV2" s="30" t="s">
        <v>177</v>
      </c>
      <c r="BW2" s="30" t="s">
        <v>178</v>
      </c>
      <c r="BX2" s="30" t="s">
        <v>179</v>
      </c>
      <c r="BY2" s="30" t="s">
        <v>180</v>
      </c>
      <c r="BZ2" s="30" t="s">
        <v>181</v>
      </c>
      <c r="CA2" s="30" t="s">
        <v>182</v>
      </c>
      <c r="CB2" s="30" t="s">
        <v>183</v>
      </c>
      <c r="CC2" s="30" t="s">
        <v>184</v>
      </c>
      <c r="CD2" s="30" t="s">
        <v>185</v>
      </c>
      <c r="CE2" s="30" t="s">
        <v>186</v>
      </c>
      <c r="CF2" s="30" t="s">
        <v>187</v>
      </c>
      <c r="CG2" s="30" t="s">
        <v>188</v>
      </c>
      <c r="CH2" s="30" t="s">
        <v>189</v>
      </c>
      <c r="CI2" s="30" t="s">
        <v>190</v>
      </c>
      <c r="CJ2" s="30" t="s">
        <v>191</v>
      </c>
      <c r="CK2" s="30" t="s">
        <v>192</v>
      </c>
      <c r="CL2" s="30" t="s">
        <v>193</v>
      </c>
      <c r="CM2" s="30" t="s">
        <v>194</v>
      </c>
      <c r="CN2" s="30" t="s">
        <v>195</v>
      </c>
      <c r="CO2" s="30" t="s">
        <v>196</v>
      </c>
      <c r="CP2" s="30" t="s">
        <v>197</v>
      </c>
      <c r="CQ2" s="30" t="s">
        <v>198</v>
      </c>
      <c r="CR2" s="30" t="s">
        <v>199</v>
      </c>
      <c r="CS2" s="30" t="s">
        <v>200</v>
      </c>
      <c r="CT2" s="30" t="s">
        <v>201</v>
      </c>
      <c r="CU2" s="30" t="s">
        <v>202</v>
      </c>
      <c r="CV2" s="40" t="s">
        <v>210</v>
      </c>
      <c r="CW2" s="37" t="s">
        <v>125</v>
      </c>
    </row>
    <row r="3" spans="1:101" ht="24" x14ac:dyDescent="0.25">
      <c r="A3" s="118">
        <v>1</v>
      </c>
      <c r="B3" s="119" t="s">
        <v>315</v>
      </c>
      <c r="C3" s="120" t="str">
        <f>_xlfn.XLOOKUP(Table1[[#This Row],[Customer]], 'Cust Data'!D:D, 'Cust Data'!E:E, "N/A")</f>
        <v xml:space="preserve">Oman </v>
      </c>
      <c r="D3" s="120">
        <f>_xlfn.XLOOKUP(Table1[[#This Row],[Customer]], 'Cust Data'!D:D, 'Cust Data'!C:C, "N/A")</f>
        <v>2000006</v>
      </c>
      <c r="E3" s="120" t="s">
        <v>398</v>
      </c>
      <c r="F3" s="121" t="s">
        <v>23</v>
      </c>
      <c r="G3" s="122" t="s">
        <v>407</v>
      </c>
      <c r="H3" s="120" t="s">
        <v>400</v>
      </c>
      <c r="I3" s="138" t="s">
        <v>22</v>
      </c>
      <c r="J3" s="123" t="s">
        <v>24</v>
      </c>
      <c r="K3" s="124">
        <v>46043</v>
      </c>
      <c r="L3" s="125" t="s">
        <v>25</v>
      </c>
      <c r="M3" s="120" t="s">
        <v>26</v>
      </c>
      <c r="N3" s="126" t="s">
        <v>27</v>
      </c>
      <c r="O3" s="66">
        <v>93458.11</v>
      </c>
      <c r="P3" s="53">
        <v>91187251</v>
      </c>
      <c r="Q3" s="54">
        <v>93458.11</v>
      </c>
      <c r="R3" s="24"/>
      <c r="S3" s="55" t="s">
        <v>28</v>
      </c>
      <c r="T3" s="24"/>
      <c r="U3" s="24" t="s">
        <v>29</v>
      </c>
      <c r="V3" s="36"/>
      <c r="W3" s="38"/>
      <c r="X3" s="24"/>
      <c r="Y3" s="24"/>
      <c r="Z3" s="24"/>
      <c r="AA3" s="24"/>
      <c r="AB3" s="24"/>
      <c r="AC3" s="36"/>
      <c r="AD3" s="34"/>
      <c r="AE3" s="24"/>
      <c r="AF3" s="24"/>
      <c r="AG3" s="24"/>
      <c r="AH3" s="24"/>
      <c r="AI3" s="24"/>
      <c r="AJ3" s="36"/>
      <c r="AK3" s="34"/>
      <c r="AL3" s="24"/>
      <c r="AM3" s="24"/>
      <c r="AN3" s="24"/>
      <c r="AO3" s="24"/>
      <c r="AP3" s="24"/>
      <c r="AQ3" s="36"/>
      <c r="AR3" s="34"/>
      <c r="AS3" s="24"/>
      <c r="AT3" s="24"/>
      <c r="AU3" s="24"/>
      <c r="AV3" s="24"/>
      <c r="AW3" s="24"/>
      <c r="AX3" s="36"/>
      <c r="AY3" s="34"/>
      <c r="AZ3" s="24"/>
      <c r="BA3" s="24"/>
      <c r="BB3" s="24"/>
      <c r="BC3" s="24"/>
      <c r="BD3" s="24"/>
      <c r="BE3" s="36"/>
      <c r="BF3" s="34"/>
      <c r="BG3" s="24"/>
      <c r="BH3" s="24"/>
      <c r="BI3" s="24"/>
      <c r="BJ3" s="24"/>
      <c r="BK3" s="24"/>
      <c r="BL3" s="36"/>
      <c r="BM3" s="34"/>
      <c r="BN3" s="24"/>
      <c r="BO3" s="24"/>
      <c r="BP3" s="24"/>
      <c r="BQ3" s="24"/>
      <c r="BR3" s="24"/>
      <c r="BS3" s="36"/>
      <c r="BT3" s="34"/>
      <c r="BU3" s="24"/>
      <c r="BV3" s="24"/>
      <c r="BW3" s="24"/>
      <c r="BX3" s="24"/>
      <c r="BY3" s="24"/>
      <c r="BZ3" s="36"/>
      <c r="CA3" s="34"/>
      <c r="CB3" s="24"/>
      <c r="CC3" s="24"/>
      <c r="CD3" s="24"/>
      <c r="CE3" s="24"/>
      <c r="CF3" s="24"/>
      <c r="CG3" s="36"/>
      <c r="CH3" s="34"/>
      <c r="CI3" s="24"/>
      <c r="CJ3" s="24"/>
      <c r="CK3" s="24"/>
      <c r="CL3" s="24"/>
      <c r="CM3" s="24"/>
      <c r="CN3" s="36"/>
      <c r="CO3" s="34"/>
      <c r="CP3" s="24"/>
      <c r="CQ3" s="24"/>
      <c r="CR3" s="24"/>
      <c r="CS3" s="24"/>
      <c r="CT3" s="24"/>
      <c r="CU3" s="35"/>
      <c r="CV3" s="60"/>
      <c r="CW3" s="33">
        <f>Table1[[#This Row],[LC Value (USD)]]-Table1[[#This Row],[Value]]-Table1[[#This Row],[Value3]]-Table1[[#This Row],[Value10]]-Table1[[#This Row],[Value17]]-Table1[[#This Row],[Value24]]-Table1[[#This Row],[Value31]]-Table1[[#This Row],[Value38]]-Table1[[#This Row],[Value45]]-Table1[[#This Row],[Value52]]-Table1[[#This Row],[Value59]]-Table1[[#This Row],[Value66]]-Table1[[#This Row],[Value73]]</f>
        <v>0</v>
      </c>
    </row>
    <row r="4" spans="1:101" ht="24" x14ac:dyDescent="0.25">
      <c r="A4" s="118">
        <v>2</v>
      </c>
      <c r="B4" s="119" t="s">
        <v>315</v>
      </c>
      <c r="C4" s="120" t="str">
        <f>_xlfn.XLOOKUP(Table1[[#This Row],[Customer]], 'Cust Data'!D:D, 'Cust Data'!E:E, "N/A")</f>
        <v xml:space="preserve">Oman </v>
      </c>
      <c r="D4" s="120">
        <f>_xlfn.XLOOKUP(Table1[[#This Row],[Customer]], 'Cust Data'!D:D, 'Cust Data'!C:C, "N/A")</f>
        <v>2000006</v>
      </c>
      <c r="E4" s="120" t="s">
        <v>398</v>
      </c>
      <c r="F4" s="120" t="s">
        <v>32</v>
      </c>
      <c r="G4" s="122" t="s">
        <v>407</v>
      </c>
      <c r="H4" s="120" t="s">
        <v>400</v>
      </c>
      <c r="I4" s="138" t="s">
        <v>31</v>
      </c>
      <c r="J4" s="123" t="s">
        <v>33</v>
      </c>
      <c r="K4" s="124">
        <v>46089</v>
      </c>
      <c r="L4" s="125" t="s">
        <v>34</v>
      </c>
      <c r="M4" s="120" t="s">
        <v>26</v>
      </c>
      <c r="N4" s="126" t="s">
        <v>27</v>
      </c>
      <c r="O4" s="65">
        <v>237831.61</v>
      </c>
      <c r="P4" s="43">
        <v>91189924</v>
      </c>
      <c r="Q4" s="44">
        <v>57415.67</v>
      </c>
      <c r="R4" s="25"/>
      <c r="S4" s="27" t="s">
        <v>28</v>
      </c>
      <c r="T4" s="25"/>
      <c r="U4" s="25" t="s">
        <v>35</v>
      </c>
      <c r="V4" s="29"/>
      <c r="W4" s="39">
        <v>91186097</v>
      </c>
      <c r="X4" s="25">
        <v>155195.44</v>
      </c>
      <c r="Y4" s="25"/>
      <c r="Z4" s="25" t="s">
        <v>28</v>
      </c>
      <c r="AA4" s="25"/>
      <c r="AB4" s="25" t="s">
        <v>35</v>
      </c>
      <c r="AC4" s="29"/>
      <c r="AD4" s="26">
        <v>91189919</v>
      </c>
      <c r="AE4" s="25">
        <v>1993.6</v>
      </c>
      <c r="AF4" s="25"/>
      <c r="AG4" s="25" t="s">
        <v>28</v>
      </c>
      <c r="AH4" s="25"/>
      <c r="AI4" s="25" t="s">
        <v>35</v>
      </c>
      <c r="AJ4" s="29"/>
      <c r="AK4" s="26">
        <v>91189901</v>
      </c>
      <c r="AL4" s="25">
        <v>18008.96</v>
      </c>
      <c r="AM4" s="25"/>
      <c r="AN4" s="25"/>
      <c r="AO4" s="25"/>
      <c r="AP4" s="25"/>
      <c r="AQ4" s="29"/>
      <c r="AR4" s="26"/>
      <c r="AS4" s="25"/>
      <c r="AT4" s="25"/>
      <c r="AU4" s="25"/>
      <c r="AV4" s="25"/>
      <c r="AW4" s="25"/>
      <c r="AX4" s="29"/>
      <c r="AY4" s="26"/>
      <c r="AZ4" s="25"/>
      <c r="BA4" s="25"/>
      <c r="BB4" s="25"/>
      <c r="BC4" s="25"/>
      <c r="BD4" s="25"/>
      <c r="BE4" s="29"/>
      <c r="BF4" s="26"/>
      <c r="BG4" s="25"/>
      <c r="BH4" s="25"/>
      <c r="BI4" s="25"/>
      <c r="BJ4" s="25"/>
      <c r="BK4" s="25"/>
      <c r="BL4" s="29"/>
      <c r="BM4" s="26"/>
      <c r="BN4" s="25"/>
      <c r="BO4" s="25"/>
      <c r="BP4" s="25"/>
      <c r="BQ4" s="25"/>
      <c r="BR4" s="25"/>
      <c r="BS4" s="29"/>
      <c r="BT4" s="26"/>
      <c r="BU4" s="25"/>
      <c r="BV4" s="25"/>
      <c r="BW4" s="25"/>
      <c r="BX4" s="25"/>
      <c r="BY4" s="25"/>
      <c r="BZ4" s="29"/>
      <c r="CA4" s="26"/>
      <c r="CB4" s="25"/>
      <c r="CC4" s="25"/>
      <c r="CD4" s="25"/>
      <c r="CE4" s="25"/>
      <c r="CF4" s="25"/>
      <c r="CG4" s="29"/>
      <c r="CH4" s="26"/>
      <c r="CI4" s="25"/>
      <c r="CJ4" s="25"/>
      <c r="CK4" s="25"/>
      <c r="CL4" s="25"/>
      <c r="CM4" s="25"/>
      <c r="CN4" s="29"/>
      <c r="CO4" s="26"/>
      <c r="CP4" s="25"/>
      <c r="CQ4" s="25"/>
      <c r="CR4" s="25"/>
      <c r="CS4" s="25"/>
      <c r="CT4" s="25"/>
      <c r="CU4" s="28"/>
      <c r="CV4" s="61"/>
      <c r="CW4" s="33">
        <f>Table1[[#This Row],[LC Value (USD)]]-Table1[[#This Row],[Value]]-Table1[[#This Row],[Value3]]-Table1[[#This Row],[Value10]]-Table1[[#This Row],[Value17]]-Table1[[#This Row],[Value24]]-Table1[[#This Row],[Value31]]-Table1[[#This Row],[Value38]]-Table1[[#This Row],[Value45]]-Table1[[#This Row],[Value52]]-Table1[[#This Row],[Value59]]-Table1[[#This Row],[Value66]]-Table1[[#This Row],[Value73]]</f>
        <v>5217.9400000000023</v>
      </c>
    </row>
    <row r="5" spans="1:101" ht="24" x14ac:dyDescent="0.25">
      <c r="A5" s="118">
        <v>3</v>
      </c>
      <c r="B5" s="119" t="s">
        <v>315</v>
      </c>
      <c r="C5" s="120" t="str">
        <f>_xlfn.XLOOKUP(Table1[[#This Row],[Customer]], 'Cust Data'!D:D, 'Cust Data'!E:E, "N/A")</f>
        <v xml:space="preserve">Oman </v>
      </c>
      <c r="D5" s="120">
        <f>_xlfn.XLOOKUP(Table1[[#This Row],[Customer]], 'Cust Data'!D:D, 'Cust Data'!C:C, "N/A")</f>
        <v>2000006</v>
      </c>
      <c r="E5" s="120" t="s">
        <v>398</v>
      </c>
      <c r="F5" s="121" t="s">
        <v>38</v>
      </c>
      <c r="G5" s="122" t="s">
        <v>407</v>
      </c>
      <c r="H5" s="120" t="s">
        <v>400</v>
      </c>
      <c r="I5" s="138" t="s">
        <v>37</v>
      </c>
      <c r="J5" s="123" t="s">
        <v>39</v>
      </c>
      <c r="K5" s="124">
        <v>46117</v>
      </c>
      <c r="L5" s="125" t="s">
        <v>40</v>
      </c>
      <c r="M5" s="120" t="s">
        <v>26</v>
      </c>
      <c r="N5" s="126" t="s">
        <v>27</v>
      </c>
      <c r="O5" s="65">
        <v>414745.85</v>
      </c>
      <c r="P5" s="43">
        <v>91195705</v>
      </c>
      <c r="Q5" s="44">
        <v>355645.85</v>
      </c>
      <c r="R5" s="25"/>
      <c r="S5" s="27" t="s">
        <v>28</v>
      </c>
      <c r="T5" s="25"/>
      <c r="U5" s="25" t="s">
        <v>41</v>
      </c>
      <c r="V5" s="29"/>
      <c r="W5" s="39">
        <v>91196156</v>
      </c>
      <c r="X5" s="25">
        <v>59100</v>
      </c>
      <c r="Y5" s="25"/>
      <c r="Z5" s="25" t="s">
        <v>28</v>
      </c>
      <c r="AA5" s="25" t="s">
        <v>41</v>
      </c>
      <c r="AB5" s="25"/>
      <c r="AC5" s="29"/>
      <c r="AD5" s="26"/>
      <c r="AE5" s="25"/>
      <c r="AF5" s="25"/>
      <c r="AG5" s="25"/>
      <c r="AH5" s="25"/>
      <c r="AI5" s="25"/>
      <c r="AJ5" s="29"/>
      <c r="AK5" s="26"/>
      <c r="AL5" s="25"/>
      <c r="AM5" s="25"/>
      <c r="AN5" s="25"/>
      <c r="AO5" s="25"/>
      <c r="AP5" s="25"/>
      <c r="AQ5" s="29"/>
      <c r="AR5" s="26"/>
      <c r="AS5" s="25"/>
      <c r="AT5" s="25"/>
      <c r="AU5" s="25"/>
      <c r="AV5" s="25"/>
      <c r="AW5" s="25"/>
      <c r="AX5" s="29"/>
      <c r="AY5" s="26"/>
      <c r="AZ5" s="25"/>
      <c r="BA5" s="25"/>
      <c r="BB5" s="25"/>
      <c r="BC5" s="25"/>
      <c r="BD5" s="25"/>
      <c r="BE5" s="29"/>
      <c r="BF5" s="26"/>
      <c r="BG5" s="25"/>
      <c r="BH5" s="25"/>
      <c r="BI5" s="25"/>
      <c r="BJ5" s="25"/>
      <c r="BK5" s="25"/>
      <c r="BL5" s="29"/>
      <c r="BM5" s="26"/>
      <c r="BN5" s="25"/>
      <c r="BO5" s="25"/>
      <c r="BP5" s="25"/>
      <c r="BQ5" s="25"/>
      <c r="BR5" s="25"/>
      <c r="BS5" s="29"/>
      <c r="BT5" s="26"/>
      <c r="BU5" s="25"/>
      <c r="BV5" s="25"/>
      <c r="BW5" s="25"/>
      <c r="BX5" s="25"/>
      <c r="BY5" s="25"/>
      <c r="BZ5" s="29"/>
      <c r="CA5" s="26"/>
      <c r="CB5" s="25"/>
      <c r="CC5" s="25"/>
      <c r="CD5" s="25"/>
      <c r="CE5" s="25"/>
      <c r="CF5" s="25"/>
      <c r="CG5" s="29"/>
      <c r="CH5" s="26"/>
      <c r="CI5" s="25"/>
      <c r="CJ5" s="25"/>
      <c r="CK5" s="25"/>
      <c r="CL5" s="25"/>
      <c r="CM5" s="25"/>
      <c r="CN5" s="29"/>
      <c r="CO5" s="26"/>
      <c r="CP5" s="25"/>
      <c r="CQ5" s="25"/>
      <c r="CR5" s="25"/>
      <c r="CS5" s="25"/>
      <c r="CT5" s="25"/>
      <c r="CU5" s="28"/>
      <c r="CV5" s="61"/>
      <c r="CW5" s="33">
        <f>Table1[[#This Row],[LC Value (USD)]]-Table1[[#This Row],[Value]]-Table1[[#This Row],[Value3]]-Table1[[#This Row],[Value10]]-Table1[[#This Row],[Value17]]-Table1[[#This Row],[Value24]]-Table1[[#This Row],[Value31]]-Table1[[#This Row],[Value38]]-Table1[[#This Row],[Value45]]-Table1[[#This Row],[Value52]]-Table1[[#This Row],[Value59]]-Table1[[#This Row],[Value66]]-Table1[[#This Row],[Value73]]</f>
        <v>0</v>
      </c>
    </row>
    <row r="6" spans="1:101" ht="24" x14ac:dyDescent="0.25">
      <c r="A6" s="118">
        <v>4</v>
      </c>
      <c r="B6" s="119" t="s">
        <v>315</v>
      </c>
      <c r="C6" s="120" t="str">
        <f>_xlfn.XLOOKUP(Table1[[#This Row],[Customer]], 'Cust Data'!D:D, 'Cust Data'!E:E, "N/A")</f>
        <v xml:space="preserve">Oman </v>
      </c>
      <c r="D6" s="120">
        <f>_xlfn.XLOOKUP(Table1[[#This Row],[Customer]], 'Cust Data'!D:D, 'Cust Data'!C:C, "N/A")</f>
        <v>2000006</v>
      </c>
      <c r="E6" s="120" t="s">
        <v>398</v>
      </c>
      <c r="F6" s="120" t="s">
        <v>45</v>
      </c>
      <c r="G6" s="122" t="s">
        <v>407</v>
      </c>
      <c r="H6" s="120" t="s">
        <v>400</v>
      </c>
      <c r="I6" s="138" t="s">
        <v>44</v>
      </c>
      <c r="J6" s="123" t="s">
        <v>46</v>
      </c>
      <c r="K6" s="124">
        <v>46117</v>
      </c>
      <c r="L6" s="125" t="s">
        <v>40</v>
      </c>
      <c r="M6" s="120" t="s">
        <v>26</v>
      </c>
      <c r="N6" s="126" t="s">
        <v>27</v>
      </c>
      <c r="O6" s="65">
        <v>172096.92</v>
      </c>
      <c r="P6" s="43">
        <v>91197426</v>
      </c>
      <c r="Q6" s="44">
        <v>172096.92</v>
      </c>
      <c r="R6" s="25"/>
      <c r="S6" s="27"/>
      <c r="T6" s="25"/>
      <c r="U6" s="25"/>
      <c r="V6" s="29"/>
      <c r="W6" s="39"/>
      <c r="X6" s="25"/>
      <c r="Y6" s="25"/>
      <c r="Z6" s="25"/>
      <c r="AA6" s="25"/>
      <c r="AB6" s="25"/>
      <c r="AC6" s="29"/>
      <c r="AD6" s="26"/>
      <c r="AE6" s="25"/>
      <c r="AF6" s="25"/>
      <c r="AG6" s="25"/>
      <c r="AH6" s="25"/>
      <c r="AI6" s="25"/>
      <c r="AJ6" s="29"/>
      <c r="AK6" s="26"/>
      <c r="AL6" s="25"/>
      <c r="AM6" s="25"/>
      <c r="AN6" s="25"/>
      <c r="AO6" s="25"/>
      <c r="AP6" s="25"/>
      <c r="AQ6" s="29"/>
      <c r="AR6" s="26"/>
      <c r="AS6" s="25"/>
      <c r="AT6" s="25"/>
      <c r="AU6" s="25"/>
      <c r="AV6" s="25"/>
      <c r="AW6" s="25"/>
      <c r="AX6" s="29"/>
      <c r="AY6" s="26"/>
      <c r="AZ6" s="25"/>
      <c r="BA6" s="25"/>
      <c r="BB6" s="25"/>
      <c r="BC6" s="25"/>
      <c r="BD6" s="25"/>
      <c r="BE6" s="29"/>
      <c r="BF6" s="26"/>
      <c r="BG6" s="25"/>
      <c r="BH6" s="25"/>
      <c r="BI6" s="25"/>
      <c r="BJ6" s="25"/>
      <c r="BK6" s="25"/>
      <c r="BL6" s="29"/>
      <c r="BM6" s="26"/>
      <c r="BN6" s="25"/>
      <c r="BO6" s="25"/>
      <c r="BP6" s="25"/>
      <c r="BQ6" s="25"/>
      <c r="BR6" s="25"/>
      <c r="BS6" s="29"/>
      <c r="BT6" s="26"/>
      <c r="BU6" s="25"/>
      <c r="BV6" s="25"/>
      <c r="BW6" s="25"/>
      <c r="BX6" s="25"/>
      <c r="BY6" s="25"/>
      <c r="BZ6" s="29"/>
      <c r="CA6" s="26"/>
      <c r="CB6" s="25"/>
      <c r="CC6" s="25"/>
      <c r="CD6" s="25"/>
      <c r="CE6" s="25"/>
      <c r="CF6" s="25"/>
      <c r="CG6" s="29"/>
      <c r="CH6" s="26"/>
      <c r="CI6" s="25"/>
      <c r="CJ6" s="25"/>
      <c r="CK6" s="25"/>
      <c r="CL6" s="25"/>
      <c r="CM6" s="25"/>
      <c r="CN6" s="29"/>
      <c r="CO6" s="26"/>
      <c r="CP6" s="25"/>
      <c r="CQ6" s="25"/>
      <c r="CR6" s="25"/>
      <c r="CS6" s="25"/>
      <c r="CT6" s="25"/>
      <c r="CU6" s="28"/>
      <c r="CV6" s="61"/>
      <c r="CW6" s="33">
        <f>Table1[[#This Row],[LC Value (USD)]]-Table1[[#This Row],[Value]]-Table1[[#This Row],[Value3]]-Table1[[#This Row],[Value10]]-Table1[[#This Row],[Value17]]-Table1[[#This Row],[Value24]]-Table1[[#This Row],[Value31]]-Table1[[#This Row],[Value38]]-Table1[[#This Row],[Value45]]-Table1[[#This Row],[Value52]]-Table1[[#This Row],[Value59]]-Table1[[#This Row],[Value66]]-Table1[[#This Row],[Value73]]</f>
        <v>0</v>
      </c>
    </row>
    <row r="7" spans="1:101" ht="24" x14ac:dyDescent="0.25">
      <c r="A7" s="118">
        <v>5</v>
      </c>
      <c r="B7" s="119" t="s">
        <v>316</v>
      </c>
      <c r="C7" s="120" t="str">
        <f>_xlfn.XLOOKUP(Table1[[#This Row],[Customer]], 'Cust Data'!D:D, 'Cust Data'!E:E, "N/A")</f>
        <v xml:space="preserve">Iraq </v>
      </c>
      <c r="D7" s="120">
        <f>_xlfn.XLOOKUP(Table1[[#This Row],[Customer]], 'Cust Data'!D:D, 'Cust Data'!C:C, "N/A")</f>
        <v>2000018</v>
      </c>
      <c r="E7" s="121" t="s">
        <v>404</v>
      </c>
      <c r="F7" s="121" t="s">
        <v>51</v>
      </c>
      <c r="G7" s="122" t="s">
        <v>411</v>
      </c>
      <c r="H7" s="120" t="s">
        <v>401</v>
      </c>
      <c r="I7" s="138" t="s">
        <v>50</v>
      </c>
      <c r="J7" s="123" t="s">
        <v>52</v>
      </c>
      <c r="K7" s="124">
        <v>46154</v>
      </c>
      <c r="L7" s="125" t="s">
        <v>53</v>
      </c>
      <c r="M7" s="120" t="s">
        <v>26</v>
      </c>
      <c r="N7" s="126" t="s">
        <v>27</v>
      </c>
      <c r="O7" s="65">
        <v>750804.98</v>
      </c>
      <c r="P7" s="43">
        <v>91200826</v>
      </c>
      <c r="Q7" s="44">
        <v>650451</v>
      </c>
      <c r="R7" s="25"/>
      <c r="S7" s="27"/>
      <c r="T7" s="25"/>
      <c r="U7" s="25"/>
      <c r="V7" s="29"/>
      <c r="W7" s="39">
        <v>91206415</v>
      </c>
      <c r="X7" s="25">
        <v>100351.3</v>
      </c>
      <c r="Y7" s="25"/>
      <c r="Z7" s="25"/>
      <c r="AA7" s="25"/>
      <c r="AB7" s="25"/>
      <c r="AC7" s="29"/>
      <c r="AD7" s="26"/>
      <c r="AE7" s="25"/>
      <c r="AF7" s="25"/>
      <c r="AG7" s="25"/>
      <c r="AH7" s="25"/>
      <c r="AI7" s="25"/>
      <c r="AJ7" s="29"/>
      <c r="AK7" s="26"/>
      <c r="AL7" s="25"/>
      <c r="AM7" s="25"/>
      <c r="AN7" s="25"/>
      <c r="AO7" s="25"/>
      <c r="AP7" s="25"/>
      <c r="AQ7" s="29"/>
      <c r="AR7" s="26"/>
      <c r="AS7" s="25"/>
      <c r="AT7" s="25"/>
      <c r="AU7" s="25"/>
      <c r="AV7" s="25"/>
      <c r="AW7" s="25"/>
      <c r="AX7" s="29"/>
      <c r="AY7" s="26"/>
      <c r="AZ7" s="25"/>
      <c r="BA7" s="25"/>
      <c r="BB7" s="25"/>
      <c r="BC7" s="25"/>
      <c r="BD7" s="25"/>
      <c r="BE7" s="29"/>
      <c r="BF7" s="26"/>
      <c r="BG7" s="25"/>
      <c r="BH7" s="25"/>
      <c r="BI7" s="25"/>
      <c r="BJ7" s="25"/>
      <c r="BK7" s="25"/>
      <c r="BL7" s="29"/>
      <c r="BM7" s="26"/>
      <c r="BN7" s="25"/>
      <c r="BO7" s="25"/>
      <c r="BP7" s="25"/>
      <c r="BQ7" s="25"/>
      <c r="BR7" s="25"/>
      <c r="BS7" s="29"/>
      <c r="BT7" s="26"/>
      <c r="BU7" s="25"/>
      <c r="BV7" s="25"/>
      <c r="BW7" s="25"/>
      <c r="BX7" s="25"/>
      <c r="BY7" s="25"/>
      <c r="BZ7" s="29"/>
      <c r="CA7" s="26"/>
      <c r="CB7" s="25"/>
      <c r="CC7" s="25"/>
      <c r="CD7" s="25"/>
      <c r="CE7" s="25"/>
      <c r="CF7" s="25"/>
      <c r="CG7" s="29"/>
      <c r="CH7" s="26"/>
      <c r="CI7" s="25"/>
      <c r="CJ7" s="25"/>
      <c r="CK7" s="25"/>
      <c r="CL7" s="25"/>
      <c r="CM7" s="25"/>
      <c r="CN7" s="29"/>
      <c r="CO7" s="26"/>
      <c r="CP7" s="25"/>
      <c r="CQ7" s="25"/>
      <c r="CR7" s="25"/>
      <c r="CS7" s="25"/>
      <c r="CT7" s="25"/>
      <c r="CU7" s="28"/>
      <c r="CV7" s="61"/>
      <c r="CW7" s="33">
        <f>Table1[[#This Row],[LC Value (USD)]]-Table1[[#This Row],[Value]]-Table1[[#This Row],[Value3]]-Table1[[#This Row],[Value10]]-Table1[[#This Row],[Value17]]-Table1[[#This Row],[Value24]]-Table1[[#This Row],[Value31]]-Table1[[#This Row],[Value38]]-Table1[[#This Row],[Value45]]-Table1[[#This Row],[Value52]]-Table1[[#This Row],[Value59]]-Table1[[#This Row],[Value66]]-Table1[[#This Row],[Value73]]</f>
        <v>2.6799999999784632</v>
      </c>
    </row>
    <row r="8" spans="1:101" ht="24" x14ac:dyDescent="0.25">
      <c r="A8" s="118">
        <v>6</v>
      </c>
      <c r="B8" s="119" t="s">
        <v>261</v>
      </c>
      <c r="C8" s="120" t="str">
        <f>_xlfn.XLOOKUP(Table1[[#This Row],[Customer]], 'Cust Data'!D:D, 'Cust Data'!E:E, "N/A")</f>
        <v xml:space="preserve">Libya </v>
      </c>
      <c r="D8" s="120">
        <f>_xlfn.XLOOKUP(Table1[[#This Row],[Customer]], 'Cust Data'!D:D, 'Cust Data'!C:C, "N/A")</f>
        <v>2000012</v>
      </c>
      <c r="E8" s="120" t="s">
        <v>402</v>
      </c>
      <c r="F8" s="120" t="s">
        <v>62</v>
      </c>
      <c r="G8" s="122" t="s">
        <v>61</v>
      </c>
      <c r="H8" s="120" t="s">
        <v>59</v>
      </c>
      <c r="I8" s="138" t="s">
        <v>60</v>
      </c>
      <c r="J8" s="123" t="s">
        <v>63</v>
      </c>
      <c r="K8" s="124">
        <v>46189</v>
      </c>
      <c r="L8" s="125" t="s">
        <v>64</v>
      </c>
      <c r="M8" s="120" t="s">
        <v>26</v>
      </c>
      <c r="N8" s="126" t="s">
        <v>27</v>
      </c>
      <c r="O8" s="65">
        <v>200806.15</v>
      </c>
      <c r="P8" s="43">
        <v>91199933</v>
      </c>
      <c r="Q8" s="44">
        <v>200806.15</v>
      </c>
      <c r="R8" s="25"/>
      <c r="S8" s="27"/>
      <c r="T8" s="25"/>
      <c r="U8" s="25"/>
      <c r="V8" s="29"/>
      <c r="W8" s="39"/>
      <c r="X8" s="25"/>
      <c r="Y8" s="25"/>
      <c r="Z8" s="25"/>
      <c r="AA8" s="25"/>
      <c r="AB8" s="25"/>
      <c r="AC8" s="29"/>
      <c r="AD8" s="26"/>
      <c r="AE8" s="25"/>
      <c r="AF8" s="25"/>
      <c r="AG8" s="25"/>
      <c r="AH8" s="25"/>
      <c r="AI8" s="25"/>
      <c r="AJ8" s="29"/>
      <c r="AK8" s="26"/>
      <c r="AL8" s="25"/>
      <c r="AM8" s="25"/>
      <c r="AN8" s="25"/>
      <c r="AO8" s="25"/>
      <c r="AP8" s="25"/>
      <c r="AQ8" s="29"/>
      <c r="AR8" s="26"/>
      <c r="AS8" s="25"/>
      <c r="AT8" s="25"/>
      <c r="AU8" s="25"/>
      <c r="AV8" s="25"/>
      <c r="AW8" s="25"/>
      <c r="AX8" s="29"/>
      <c r="AY8" s="26"/>
      <c r="AZ8" s="25"/>
      <c r="BA8" s="25"/>
      <c r="BB8" s="25"/>
      <c r="BC8" s="25"/>
      <c r="BD8" s="25"/>
      <c r="BE8" s="29"/>
      <c r="BF8" s="26"/>
      <c r="BG8" s="25"/>
      <c r="BH8" s="25"/>
      <c r="BI8" s="25"/>
      <c r="BJ8" s="25"/>
      <c r="BK8" s="25"/>
      <c r="BL8" s="29"/>
      <c r="BM8" s="26"/>
      <c r="BN8" s="25"/>
      <c r="BO8" s="25"/>
      <c r="BP8" s="25"/>
      <c r="BQ8" s="25"/>
      <c r="BR8" s="25"/>
      <c r="BS8" s="29"/>
      <c r="BT8" s="26"/>
      <c r="BU8" s="25"/>
      <c r="BV8" s="25"/>
      <c r="BW8" s="25"/>
      <c r="BX8" s="25"/>
      <c r="BY8" s="25"/>
      <c r="BZ8" s="29"/>
      <c r="CA8" s="26"/>
      <c r="CB8" s="25"/>
      <c r="CC8" s="25"/>
      <c r="CD8" s="25"/>
      <c r="CE8" s="25"/>
      <c r="CF8" s="25"/>
      <c r="CG8" s="29"/>
      <c r="CH8" s="26"/>
      <c r="CI8" s="25"/>
      <c r="CJ8" s="25"/>
      <c r="CK8" s="25"/>
      <c r="CL8" s="25"/>
      <c r="CM8" s="25"/>
      <c r="CN8" s="29"/>
      <c r="CO8" s="26"/>
      <c r="CP8" s="25"/>
      <c r="CQ8" s="25"/>
      <c r="CR8" s="25"/>
      <c r="CS8" s="25"/>
      <c r="CT8" s="25"/>
      <c r="CU8" s="28"/>
      <c r="CV8" s="61"/>
      <c r="CW8" s="33">
        <f>Table1[[#This Row],[LC Value (USD)]]-Table1[[#This Row],[Value]]-Table1[[#This Row],[Value3]]-Table1[[#This Row],[Value10]]-Table1[[#This Row],[Value17]]-Table1[[#This Row],[Value24]]-Table1[[#This Row],[Value31]]-Table1[[#This Row],[Value38]]-Table1[[#This Row],[Value45]]-Table1[[#This Row],[Value52]]-Table1[[#This Row],[Value59]]-Table1[[#This Row],[Value66]]-Table1[[#This Row],[Value73]]</f>
        <v>0</v>
      </c>
    </row>
    <row r="9" spans="1:101" ht="24" x14ac:dyDescent="0.25">
      <c r="A9" s="118">
        <v>7</v>
      </c>
      <c r="B9" s="119" t="s">
        <v>316</v>
      </c>
      <c r="C9" s="120" t="str">
        <f>_xlfn.XLOOKUP(Table1[[#This Row],[Customer]], 'Cust Data'!D:D, 'Cust Data'!E:E, "N/A")</f>
        <v xml:space="preserve">Iraq </v>
      </c>
      <c r="D9" s="120">
        <f>_xlfn.XLOOKUP(Table1[[#This Row],[Customer]], 'Cust Data'!D:D, 'Cust Data'!C:C, "N/A")</f>
        <v>2000018</v>
      </c>
      <c r="E9" s="120" t="s">
        <v>404</v>
      </c>
      <c r="F9" s="120" t="s">
        <v>68</v>
      </c>
      <c r="G9" s="122" t="s">
        <v>411</v>
      </c>
      <c r="H9" s="120" t="s">
        <v>401</v>
      </c>
      <c r="I9" s="138" t="s">
        <v>67</v>
      </c>
      <c r="J9" s="123" t="s">
        <v>63</v>
      </c>
      <c r="K9" s="124">
        <v>46154</v>
      </c>
      <c r="L9" s="125" t="s">
        <v>69</v>
      </c>
      <c r="M9" s="120" t="s">
        <v>26</v>
      </c>
      <c r="N9" s="126" t="s">
        <v>27</v>
      </c>
      <c r="O9" s="65">
        <v>747352.2</v>
      </c>
      <c r="P9" s="43">
        <v>91206417</v>
      </c>
      <c r="Q9" s="44">
        <v>374620.58</v>
      </c>
      <c r="R9" s="25"/>
      <c r="S9" s="27"/>
      <c r="T9" s="25"/>
      <c r="U9" s="25"/>
      <c r="V9" s="29"/>
      <c r="W9" s="39">
        <v>91213842</v>
      </c>
      <c r="X9" s="25">
        <v>286840.8</v>
      </c>
      <c r="Y9" s="25"/>
      <c r="Z9" s="25"/>
      <c r="AA9" s="25"/>
      <c r="AB9" s="25"/>
      <c r="AC9" s="29"/>
      <c r="AD9" s="26">
        <v>91213847</v>
      </c>
      <c r="AE9" s="25">
        <v>39033.9</v>
      </c>
      <c r="AF9" s="25"/>
      <c r="AG9" s="25"/>
      <c r="AH9" s="25"/>
      <c r="AI9" s="25"/>
      <c r="AJ9" s="29"/>
      <c r="AK9" s="26"/>
      <c r="AL9" s="25"/>
      <c r="AM9" s="25"/>
      <c r="AN9" s="25"/>
      <c r="AO9" s="25"/>
      <c r="AP9" s="25"/>
      <c r="AQ9" s="29"/>
      <c r="AR9" s="26"/>
      <c r="AS9" s="25"/>
      <c r="AT9" s="25"/>
      <c r="AU9" s="25"/>
      <c r="AV9" s="25"/>
      <c r="AW9" s="25"/>
      <c r="AX9" s="29"/>
      <c r="AY9" s="26"/>
      <c r="AZ9" s="25"/>
      <c r="BA9" s="25"/>
      <c r="BB9" s="25"/>
      <c r="BC9" s="25"/>
      <c r="BD9" s="25"/>
      <c r="BE9" s="29"/>
      <c r="BF9" s="26"/>
      <c r="BG9" s="25"/>
      <c r="BH9" s="25"/>
      <c r="BI9" s="25"/>
      <c r="BJ9" s="25"/>
      <c r="BK9" s="25"/>
      <c r="BL9" s="29"/>
      <c r="BM9" s="26"/>
      <c r="BN9" s="25"/>
      <c r="BO9" s="25"/>
      <c r="BP9" s="25"/>
      <c r="BQ9" s="25"/>
      <c r="BR9" s="25"/>
      <c r="BS9" s="29"/>
      <c r="BT9" s="26"/>
      <c r="BU9" s="25"/>
      <c r="BV9" s="25"/>
      <c r="BW9" s="25"/>
      <c r="BX9" s="25"/>
      <c r="BY9" s="25"/>
      <c r="BZ9" s="29"/>
      <c r="CA9" s="26"/>
      <c r="CB9" s="25"/>
      <c r="CC9" s="25"/>
      <c r="CD9" s="25"/>
      <c r="CE9" s="25"/>
      <c r="CF9" s="25"/>
      <c r="CG9" s="29"/>
      <c r="CH9" s="26"/>
      <c r="CI9" s="25"/>
      <c r="CJ9" s="25"/>
      <c r="CK9" s="25"/>
      <c r="CL9" s="25"/>
      <c r="CM9" s="25"/>
      <c r="CN9" s="29"/>
      <c r="CO9" s="26"/>
      <c r="CP9" s="25"/>
      <c r="CQ9" s="25"/>
      <c r="CR9" s="25"/>
      <c r="CS9" s="25"/>
      <c r="CT9" s="25"/>
      <c r="CU9" s="28"/>
      <c r="CV9" s="61"/>
      <c r="CW9" s="33">
        <f>Table1[[#This Row],[LC Value (USD)]]-Table1[[#This Row],[Value]]-Table1[[#This Row],[Value3]]-Table1[[#This Row],[Value10]]-Table1[[#This Row],[Value17]]-Table1[[#This Row],[Value24]]-Table1[[#This Row],[Value31]]-Table1[[#This Row],[Value38]]-Table1[[#This Row],[Value45]]-Table1[[#This Row],[Value52]]-Table1[[#This Row],[Value59]]-Table1[[#This Row],[Value66]]-Table1[[#This Row],[Value73]]</f>
        <v>46856.919999999947</v>
      </c>
    </row>
    <row r="10" spans="1:101" ht="24" x14ac:dyDescent="0.25">
      <c r="A10" s="118">
        <v>8</v>
      </c>
      <c r="B10" s="119" t="s">
        <v>263</v>
      </c>
      <c r="C10" s="120" t="str">
        <f>_xlfn.XLOOKUP(Table1[[#This Row],[Customer]], 'Cust Data'!D:D, 'Cust Data'!E:E, "N/A")</f>
        <v xml:space="preserve">Morocco </v>
      </c>
      <c r="D10" s="120">
        <f>_xlfn.XLOOKUP(Table1[[#This Row],[Customer]], 'Cust Data'!D:D, 'Cust Data'!C:C, "N/A")</f>
        <v>2000022</v>
      </c>
      <c r="E10" s="120" t="s">
        <v>387</v>
      </c>
      <c r="F10" s="120" t="s">
        <v>79</v>
      </c>
      <c r="G10" s="122" t="s">
        <v>410</v>
      </c>
      <c r="H10" s="120" t="s">
        <v>77</v>
      </c>
      <c r="I10" s="138" t="s">
        <v>78</v>
      </c>
      <c r="J10" s="123" t="s">
        <v>80</v>
      </c>
      <c r="K10" s="124">
        <v>46345</v>
      </c>
      <c r="L10" s="125" t="s">
        <v>81</v>
      </c>
      <c r="M10" s="120" t="s">
        <v>26</v>
      </c>
      <c r="N10" s="126" t="s">
        <v>27</v>
      </c>
      <c r="O10" s="65">
        <v>2881945.35</v>
      </c>
      <c r="P10" s="43">
        <v>91206606</v>
      </c>
      <c r="Q10" s="44">
        <v>438144</v>
      </c>
      <c r="R10" s="25"/>
      <c r="S10" s="27" t="s">
        <v>28</v>
      </c>
      <c r="T10" s="25"/>
      <c r="U10" s="25" t="s">
        <v>83</v>
      </c>
      <c r="V10" s="29"/>
      <c r="W10" s="39">
        <v>91206608</v>
      </c>
      <c r="X10" s="25">
        <v>310587.01</v>
      </c>
      <c r="Y10" s="25"/>
      <c r="Z10" s="25" t="s">
        <v>28</v>
      </c>
      <c r="AA10" s="25"/>
      <c r="AB10" s="25" t="s">
        <v>83</v>
      </c>
      <c r="AC10" s="29"/>
      <c r="AD10" s="26">
        <v>91206609</v>
      </c>
      <c r="AE10" s="25">
        <v>37391.839999999997</v>
      </c>
      <c r="AF10" s="25"/>
      <c r="AG10" s="25" t="s">
        <v>28</v>
      </c>
      <c r="AH10" s="25"/>
      <c r="AI10" s="25" t="s">
        <v>83</v>
      </c>
      <c r="AJ10" s="29"/>
      <c r="AK10" s="26">
        <v>91213275</v>
      </c>
      <c r="AL10" s="25">
        <v>84657.9</v>
      </c>
      <c r="AM10" s="25"/>
      <c r="AN10" s="25"/>
      <c r="AO10" s="25"/>
      <c r="AP10" s="25"/>
      <c r="AQ10" s="29"/>
      <c r="AR10" s="26">
        <v>91213277</v>
      </c>
      <c r="AS10" s="25">
        <v>592683.1</v>
      </c>
      <c r="AT10" s="25"/>
      <c r="AU10" s="25"/>
      <c r="AV10" s="25"/>
      <c r="AW10" s="25"/>
      <c r="AX10" s="29"/>
      <c r="AY10" s="26"/>
      <c r="AZ10" s="25"/>
      <c r="BA10" s="25"/>
      <c r="BB10" s="25"/>
      <c r="BC10" s="25"/>
      <c r="BD10" s="25"/>
      <c r="BE10" s="29"/>
      <c r="BF10" s="26"/>
      <c r="BG10" s="25"/>
      <c r="BH10" s="25"/>
      <c r="BI10" s="25"/>
      <c r="BJ10" s="25"/>
      <c r="BK10" s="25"/>
      <c r="BL10" s="29"/>
      <c r="BM10" s="26"/>
      <c r="BN10" s="25"/>
      <c r="BO10" s="25"/>
      <c r="BP10" s="25"/>
      <c r="BQ10" s="25"/>
      <c r="BR10" s="25"/>
      <c r="BS10" s="29"/>
      <c r="BT10" s="26"/>
      <c r="BU10" s="25"/>
      <c r="BV10" s="25"/>
      <c r="BW10" s="25"/>
      <c r="BX10" s="25"/>
      <c r="BY10" s="25"/>
      <c r="BZ10" s="29"/>
      <c r="CA10" s="26"/>
      <c r="CB10" s="25"/>
      <c r="CC10" s="25"/>
      <c r="CD10" s="25"/>
      <c r="CE10" s="25"/>
      <c r="CF10" s="25"/>
      <c r="CG10" s="29"/>
      <c r="CH10" s="26"/>
      <c r="CI10" s="25"/>
      <c r="CJ10" s="25"/>
      <c r="CK10" s="25"/>
      <c r="CL10" s="25"/>
      <c r="CM10" s="25"/>
      <c r="CN10" s="29"/>
      <c r="CO10" s="26"/>
      <c r="CP10" s="25"/>
      <c r="CQ10" s="25"/>
      <c r="CR10" s="25"/>
      <c r="CS10" s="25"/>
      <c r="CT10" s="25"/>
      <c r="CU10" s="28"/>
      <c r="CV10" s="61"/>
      <c r="CW10" s="33">
        <f>Table1[[#This Row],[LC Value (USD)]]-Table1[[#This Row],[Value]]-Table1[[#This Row],[Value3]]-Table1[[#This Row],[Value10]]-Table1[[#This Row],[Value17]]-Table1[[#This Row],[Value24]]-Table1[[#This Row],[Value31]]-Table1[[#This Row],[Value38]]-Table1[[#This Row],[Value45]]-Table1[[#This Row],[Value52]]-Table1[[#This Row],[Value59]]-Table1[[#This Row],[Value66]]-Table1[[#This Row],[Value73]]</f>
        <v>1418481.5</v>
      </c>
    </row>
    <row r="11" spans="1:101" ht="24" x14ac:dyDescent="0.25">
      <c r="A11" s="118">
        <v>9</v>
      </c>
      <c r="B11" s="119" t="s">
        <v>235</v>
      </c>
      <c r="C11" s="120" t="str">
        <f>_xlfn.XLOOKUP(Table1[[#This Row],[Customer]], 'Cust Data'!D:D, 'Cust Data'!E:E, "N/A")</f>
        <v>Ethiopia</v>
      </c>
      <c r="D11" s="120">
        <f>_xlfn.XLOOKUP(Table1[[#This Row],[Customer]], 'Cust Data'!D:D, 'Cust Data'!C:C, "N/A")</f>
        <v>2001209</v>
      </c>
      <c r="E11" s="120" t="s">
        <v>91</v>
      </c>
      <c r="F11" s="120" t="s">
        <v>92</v>
      </c>
      <c r="G11" s="122" t="s">
        <v>93</v>
      </c>
      <c r="H11" s="120" t="s">
        <v>399</v>
      </c>
      <c r="I11" s="138" t="s">
        <v>94</v>
      </c>
      <c r="J11" s="123" t="s">
        <v>95</v>
      </c>
      <c r="K11" s="124">
        <v>46194</v>
      </c>
      <c r="L11" s="125" t="s">
        <v>96</v>
      </c>
      <c r="M11" s="120" t="s">
        <v>26</v>
      </c>
      <c r="N11" s="126" t="s">
        <v>27</v>
      </c>
      <c r="O11" s="65">
        <v>52678.12</v>
      </c>
      <c r="P11" s="43">
        <v>91206748</v>
      </c>
      <c r="Q11" s="44">
        <v>46729</v>
      </c>
      <c r="R11" s="25"/>
      <c r="S11" s="27"/>
      <c r="T11" s="25"/>
      <c r="U11" s="25"/>
      <c r="V11" s="29"/>
      <c r="W11" s="39"/>
      <c r="X11" s="25"/>
      <c r="Y11" s="25"/>
      <c r="Z11" s="25"/>
      <c r="AA11" s="25"/>
      <c r="AB11" s="25"/>
      <c r="AC11" s="29"/>
      <c r="AD11" s="26"/>
      <c r="AE11" s="25"/>
      <c r="AF11" s="25"/>
      <c r="AG11" s="25"/>
      <c r="AH11" s="25"/>
      <c r="AI11" s="25"/>
      <c r="AJ11" s="29"/>
      <c r="AK11" s="26"/>
      <c r="AL11" s="25"/>
      <c r="AM11" s="25"/>
      <c r="AN11" s="25"/>
      <c r="AO11" s="25"/>
      <c r="AP11" s="25"/>
      <c r="AQ11" s="29"/>
      <c r="AR11" s="26"/>
      <c r="AS11" s="25"/>
      <c r="AT11" s="25"/>
      <c r="AU11" s="25"/>
      <c r="AV11" s="25"/>
      <c r="AW11" s="25"/>
      <c r="AX11" s="29"/>
      <c r="AY11" s="26"/>
      <c r="AZ11" s="25"/>
      <c r="BA11" s="25"/>
      <c r="BB11" s="25"/>
      <c r="BC11" s="25"/>
      <c r="BD11" s="25"/>
      <c r="BE11" s="29"/>
      <c r="BF11" s="26"/>
      <c r="BG11" s="25"/>
      <c r="BH11" s="25"/>
      <c r="BI11" s="25"/>
      <c r="BJ11" s="25"/>
      <c r="BK11" s="25"/>
      <c r="BL11" s="29"/>
      <c r="BM11" s="26"/>
      <c r="BN11" s="25"/>
      <c r="BO11" s="25"/>
      <c r="BP11" s="25"/>
      <c r="BQ11" s="25"/>
      <c r="BR11" s="25"/>
      <c r="BS11" s="29"/>
      <c r="BT11" s="26"/>
      <c r="BU11" s="25"/>
      <c r="BV11" s="25"/>
      <c r="BW11" s="25"/>
      <c r="BX11" s="25"/>
      <c r="BY11" s="25"/>
      <c r="BZ11" s="29"/>
      <c r="CA11" s="26"/>
      <c r="CB11" s="25"/>
      <c r="CC11" s="25"/>
      <c r="CD11" s="25"/>
      <c r="CE11" s="25"/>
      <c r="CF11" s="25"/>
      <c r="CG11" s="29"/>
      <c r="CH11" s="26"/>
      <c r="CI11" s="25"/>
      <c r="CJ11" s="25"/>
      <c r="CK11" s="25"/>
      <c r="CL11" s="25"/>
      <c r="CM11" s="25"/>
      <c r="CN11" s="29"/>
      <c r="CO11" s="26"/>
      <c r="CP11" s="25"/>
      <c r="CQ11" s="25"/>
      <c r="CR11" s="25"/>
      <c r="CS11" s="25"/>
      <c r="CT11" s="25"/>
      <c r="CU11" s="28"/>
      <c r="CV11" s="61"/>
      <c r="CW11" s="33">
        <f>Table1[[#This Row],[LC Value (USD)]]-Table1[[#This Row],[Value]]-Table1[[#This Row],[Value3]]-Table1[[#This Row],[Value10]]-Table1[[#This Row],[Value17]]-Table1[[#This Row],[Value24]]-Table1[[#This Row],[Value31]]-Table1[[#This Row],[Value38]]-Table1[[#This Row],[Value45]]-Table1[[#This Row],[Value52]]-Table1[[#This Row],[Value59]]-Table1[[#This Row],[Value66]]-Table1[[#This Row],[Value73]]</f>
        <v>5949.1200000000026</v>
      </c>
    </row>
    <row r="12" spans="1:101" ht="24" x14ac:dyDescent="0.25">
      <c r="A12" s="118">
        <v>10</v>
      </c>
      <c r="B12" s="119" t="s">
        <v>234</v>
      </c>
      <c r="C12" s="120" t="str">
        <f>_xlfn.XLOOKUP(Table1[[#This Row],[Customer]], 'Cust Data'!D:D, 'Cust Data'!E:E, "N/A")</f>
        <v>Ethiopia</v>
      </c>
      <c r="D12" s="120">
        <f>_xlfn.XLOOKUP(Table1[[#This Row],[Customer]], 'Cust Data'!D:D, 'Cust Data'!C:C, "N/A")</f>
        <v>2001332</v>
      </c>
      <c r="E12" s="120" t="s">
        <v>91</v>
      </c>
      <c r="F12" s="120" t="s">
        <v>100</v>
      </c>
      <c r="G12" s="122" t="s">
        <v>93</v>
      </c>
      <c r="H12" s="120" t="s">
        <v>101</v>
      </c>
      <c r="I12" s="138" t="s">
        <v>102</v>
      </c>
      <c r="J12" s="123" t="s">
        <v>103</v>
      </c>
      <c r="K12" s="124">
        <v>46195</v>
      </c>
      <c r="L12" s="125" t="s">
        <v>96</v>
      </c>
      <c r="M12" s="120" t="s">
        <v>26</v>
      </c>
      <c r="N12" s="126" t="s">
        <v>27</v>
      </c>
      <c r="O12" s="65">
        <v>475381.73</v>
      </c>
      <c r="P12" s="43">
        <v>91205843</v>
      </c>
      <c r="Q12" s="44">
        <v>389958.34</v>
      </c>
      <c r="R12" s="25"/>
      <c r="S12" s="27"/>
      <c r="T12" s="25"/>
      <c r="U12" s="25"/>
      <c r="V12" s="29"/>
      <c r="W12" s="39">
        <v>91214870</v>
      </c>
      <c r="X12" s="25">
        <v>85423.4</v>
      </c>
      <c r="Y12" s="25"/>
      <c r="Z12" s="25"/>
      <c r="AA12" s="25"/>
      <c r="AB12" s="25"/>
      <c r="AC12" s="29"/>
      <c r="AD12" s="26"/>
      <c r="AE12" s="25"/>
      <c r="AF12" s="25"/>
      <c r="AG12" s="25"/>
      <c r="AH12" s="25"/>
      <c r="AI12" s="25"/>
      <c r="AJ12" s="29"/>
      <c r="AK12" s="26"/>
      <c r="AL12" s="25"/>
      <c r="AM12" s="25"/>
      <c r="AN12" s="25"/>
      <c r="AO12" s="25"/>
      <c r="AP12" s="25"/>
      <c r="AQ12" s="29"/>
      <c r="AR12" s="26"/>
      <c r="AS12" s="25"/>
      <c r="AT12" s="25"/>
      <c r="AU12" s="25"/>
      <c r="AV12" s="25"/>
      <c r="AW12" s="25"/>
      <c r="AX12" s="29"/>
      <c r="AY12" s="26"/>
      <c r="AZ12" s="25"/>
      <c r="BA12" s="25"/>
      <c r="BB12" s="25"/>
      <c r="BC12" s="25"/>
      <c r="BD12" s="25"/>
      <c r="BE12" s="29"/>
      <c r="BF12" s="26"/>
      <c r="BG12" s="25"/>
      <c r="BH12" s="25"/>
      <c r="BI12" s="25"/>
      <c r="BJ12" s="25"/>
      <c r="BK12" s="25"/>
      <c r="BL12" s="29"/>
      <c r="BM12" s="26"/>
      <c r="BN12" s="25"/>
      <c r="BO12" s="25"/>
      <c r="BP12" s="25"/>
      <c r="BQ12" s="25"/>
      <c r="BR12" s="25"/>
      <c r="BS12" s="29"/>
      <c r="BT12" s="26"/>
      <c r="BU12" s="25"/>
      <c r="BV12" s="25"/>
      <c r="BW12" s="25"/>
      <c r="BX12" s="25"/>
      <c r="BY12" s="25"/>
      <c r="BZ12" s="29"/>
      <c r="CA12" s="26"/>
      <c r="CB12" s="25"/>
      <c r="CC12" s="25"/>
      <c r="CD12" s="25"/>
      <c r="CE12" s="25"/>
      <c r="CF12" s="25"/>
      <c r="CG12" s="29"/>
      <c r="CH12" s="26"/>
      <c r="CI12" s="25"/>
      <c r="CJ12" s="25"/>
      <c r="CK12" s="25"/>
      <c r="CL12" s="25"/>
      <c r="CM12" s="25"/>
      <c r="CN12" s="29"/>
      <c r="CO12" s="26"/>
      <c r="CP12" s="25"/>
      <c r="CQ12" s="25"/>
      <c r="CR12" s="25"/>
      <c r="CS12" s="25"/>
      <c r="CT12" s="25"/>
      <c r="CU12" s="28"/>
      <c r="CV12" s="61"/>
      <c r="CW12" s="33">
        <f>Table1[[#This Row],[LC Value (USD)]]-Table1[[#This Row],[Value]]-Table1[[#This Row],[Value3]]-Table1[[#This Row],[Value10]]-Table1[[#This Row],[Value17]]-Table1[[#This Row],[Value24]]-Table1[[#This Row],[Value31]]-Table1[[#This Row],[Value38]]-Table1[[#This Row],[Value45]]-Table1[[#This Row],[Value52]]-Table1[[#This Row],[Value59]]-Table1[[#This Row],[Value66]]-Table1[[#This Row],[Value73]]</f>
        <v>-1.0000000038417056E-2</v>
      </c>
    </row>
    <row r="13" spans="1:101" ht="24" x14ac:dyDescent="0.25">
      <c r="A13" s="118">
        <v>11</v>
      </c>
      <c r="B13" s="119" t="s">
        <v>315</v>
      </c>
      <c r="C13" s="120" t="str">
        <f>_xlfn.XLOOKUP(Table1[[#This Row],[Customer]], 'Cust Data'!D:D, 'Cust Data'!E:E, "N/A")</f>
        <v xml:space="preserve">Oman </v>
      </c>
      <c r="D13" s="120">
        <f>_xlfn.XLOOKUP(Table1[[#This Row],[Customer]], 'Cust Data'!D:D, 'Cust Data'!C:C, "N/A")</f>
        <v>2000006</v>
      </c>
      <c r="E13" s="120" t="s">
        <v>398</v>
      </c>
      <c r="F13" s="120" t="s">
        <v>206</v>
      </c>
      <c r="G13" s="122" t="s">
        <v>407</v>
      </c>
      <c r="H13" s="120" t="s">
        <v>400</v>
      </c>
      <c r="I13" s="138" t="s">
        <v>203</v>
      </c>
      <c r="J13" s="123">
        <v>46112</v>
      </c>
      <c r="K13" s="124">
        <v>46148</v>
      </c>
      <c r="L13" s="123">
        <v>46127</v>
      </c>
      <c r="M13" s="120" t="s">
        <v>26</v>
      </c>
      <c r="N13" s="126" t="s">
        <v>27</v>
      </c>
      <c r="O13" s="65">
        <v>335479.61</v>
      </c>
      <c r="P13" s="43">
        <v>91205473</v>
      </c>
      <c r="Q13" s="44"/>
      <c r="R13" s="25"/>
      <c r="S13" s="27"/>
      <c r="T13" s="25"/>
      <c r="U13" s="25"/>
      <c r="V13" s="29"/>
      <c r="W13" s="39"/>
      <c r="X13" s="25"/>
      <c r="Y13" s="25"/>
      <c r="Z13" s="25"/>
      <c r="AA13" s="25"/>
      <c r="AB13" s="25"/>
      <c r="AC13" s="29"/>
      <c r="AD13" s="26"/>
      <c r="AE13" s="25"/>
      <c r="AF13" s="25"/>
      <c r="AG13" s="25"/>
      <c r="AH13" s="25"/>
      <c r="AI13" s="25"/>
      <c r="AJ13" s="29"/>
      <c r="AK13" s="26"/>
      <c r="AL13" s="25"/>
      <c r="AM13" s="25"/>
      <c r="AN13" s="25"/>
      <c r="AO13" s="25"/>
      <c r="AP13" s="25"/>
      <c r="AQ13" s="29"/>
      <c r="AR13" s="26"/>
      <c r="AS13" s="25"/>
      <c r="AT13" s="25"/>
      <c r="AU13" s="25"/>
      <c r="AV13" s="25"/>
      <c r="AW13" s="25"/>
      <c r="AX13" s="29"/>
      <c r="AY13" s="26"/>
      <c r="AZ13" s="25"/>
      <c r="BA13" s="25"/>
      <c r="BB13" s="25"/>
      <c r="BC13" s="25"/>
      <c r="BD13" s="25"/>
      <c r="BE13" s="29"/>
      <c r="BF13" s="26"/>
      <c r="BG13" s="25"/>
      <c r="BH13" s="25"/>
      <c r="BI13" s="25"/>
      <c r="BJ13" s="25"/>
      <c r="BK13" s="25"/>
      <c r="BL13" s="29"/>
      <c r="BM13" s="26"/>
      <c r="BN13" s="25"/>
      <c r="BO13" s="25"/>
      <c r="BP13" s="25"/>
      <c r="BQ13" s="25"/>
      <c r="BR13" s="25"/>
      <c r="BS13" s="29"/>
      <c r="BT13" s="26"/>
      <c r="BU13" s="25"/>
      <c r="BV13" s="25"/>
      <c r="BW13" s="25"/>
      <c r="BX13" s="25"/>
      <c r="BY13" s="25"/>
      <c r="BZ13" s="29"/>
      <c r="CA13" s="26"/>
      <c r="CB13" s="25"/>
      <c r="CC13" s="25"/>
      <c r="CD13" s="25"/>
      <c r="CE13" s="25"/>
      <c r="CF13" s="25"/>
      <c r="CG13" s="29"/>
      <c r="CH13" s="26"/>
      <c r="CI13" s="25"/>
      <c r="CJ13" s="25"/>
      <c r="CK13" s="25"/>
      <c r="CL13" s="25"/>
      <c r="CM13" s="25"/>
      <c r="CN13" s="29"/>
      <c r="CO13" s="26"/>
      <c r="CP13" s="25"/>
      <c r="CQ13" s="25"/>
      <c r="CR13" s="25"/>
      <c r="CS13" s="25"/>
      <c r="CT13" s="25"/>
      <c r="CU13" s="28"/>
      <c r="CV13" s="61"/>
      <c r="CW13" s="33">
        <f>Table1[[#This Row],[LC Value (USD)]]-Table1[[#This Row],[Value]]-Table1[[#This Row],[Value3]]-Table1[[#This Row],[Value10]]-Table1[[#This Row],[Value17]]-Table1[[#This Row],[Value24]]-Table1[[#This Row],[Value31]]-Table1[[#This Row],[Value38]]-Table1[[#This Row],[Value45]]-Table1[[#This Row],[Value52]]-Table1[[#This Row],[Value59]]-Table1[[#This Row],[Value66]]-Table1[[#This Row],[Value73]]</f>
        <v>335479.61</v>
      </c>
    </row>
    <row r="14" spans="1:101" ht="24" x14ac:dyDescent="0.25">
      <c r="A14" s="118">
        <v>12</v>
      </c>
      <c r="B14" s="119" t="s">
        <v>315</v>
      </c>
      <c r="C14" s="120" t="str">
        <f>_xlfn.XLOOKUP(Table1[[#This Row],[Customer]], 'Cust Data'!D:D, 'Cust Data'!E:E, "N/A")</f>
        <v xml:space="preserve">Oman </v>
      </c>
      <c r="D14" s="120">
        <f>_xlfn.XLOOKUP(Table1[[#This Row],[Customer]], 'Cust Data'!D:D, 'Cust Data'!C:C, "N/A")</f>
        <v>2000006</v>
      </c>
      <c r="E14" s="120" t="s">
        <v>398</v>
      </c>
      <c r="F14" s="120" t="s">
        <v>207</v>
      </c>
      <c r="G14" s="122" t="s">
        <v>407</v>
      </c>
      <c r="H14" s="120" t="s">
        <v>400</v>
      </c>
      <c r="I14" s="138" t="s">
        <v>208</v>
      </c>
      <c r="J14" s="123">
        <v>46134</v>
      </c>
      <c r="K14" s="124">
        <v>46178</v>
      </c>
      <c r="L14" s="123">
        <v>46157</v>
      </c>
      <c r="M14" s="120" t="s">
        <v>26</v>
      </c>
      <c r="N14" s="126" t="s">
        <v>27</v>
      </c>
      <c r="O14" s="65">
        <v>341988.22</v>
      </c>
      <c r="P14" s="43">
        <v>91213468</v>
      </c>
      <c r="Q14" s="44"/>
      <c r="R14" s="25"/>
      <c r="S14" s="27"/>
      <c r="T14" s="25"/>
      <c r="U14" s="25"/>
      <c r="V14" s="29"/>
      <c r="W14" s="39"/>
      <c r="X14" s="25"/>
      <c r="Y14" s="25"/>
      <c r="Z14" s="25"/>
      <c r="AA14" s="25"/>
      <c r="AB14" s="25"/>
      <c r="AC14" s="29"/>
      <c r="AD14" s="26"/>
      <c r="AE14" s="25"/>
      <c r="AF14" s="25"/>
      <c r="AG14" s="25"/>
      <c r="AH14" s="25"/>
      <c r="AI14" s="25"/>
      <c r="AJ14" s="29"/>
      <c r="AK14" s="26"/>
      <c r="AL14" s="25"/>
      <c r="AM14" s="25"/>
      <c r="AN14" s="25"/>
      <c r="AO14" s="25"/>
      <c r="AP14" s="25"/>
      <c r="AQ14" s="29"/>
      <c r="AR14" s="26"/>
      <c r="AS14" s="25"/>
      <c r="AT14" s="25"/>
      <c r="AU14" s="25"/>
      <c r="AV14" s="25"/>
      <c r="AW14" s="25"/>
      <c r="AX14" s="29"/>
      <c r="AY14" s="26"/>
      <c r="AZ14" s="25"/>
      <c r="BA14" s="25"/>
      <c r="BB14" s="25"/>
      <c r="BC14" s="25"/>
      <c r="BD14" s="25"/>
      <c r="BE14" s="29"/>
      <c r="BF14" s="26"/>
      <c r="BG14" s="25"/>
      <c r="BH14" s="25"/>
      <c r="BI14" s="25"/>
      <c r="BJ14" s="25"/>
      <c r="BK14" s="25"/>
      <c r="BL14" s="29"/>
      <c r="BM14" s="26"/>
      <c r="BN14" s="25"/>
      <c r="BO14" s="25"/>
      <c r="BP14" s="25"/>
      <c r="BQ14" s="25"/>
      <c r="BR14" s="25"/>
      <c r="BS14" s="29"/>
      <c r="BT14" s="26"/>
      <c r="BU14" s="25"/>
      <c r="BV14" s="25"/>
      <c r="BW14" s="25"/>
      <c r="BX14" s="25"/>
      <c r="BY14" s="25"/>
      <c r="BZ14" s="29"/>
      <c r="CA14" s="26"/>
      <c r="CB14" s="25"/>
      <c r="CC14" s="25"/>
      <c r="CD14" s="25"/>
      <c r="CE14" s="25"/>
      <c r="CF14" s="25"/>
      <c r="CG14" s="29"/>
      <c r="CH14" s="26"/>
      <c r="CI14" s="25"/>
      <c r="CJ14" s="25"/>
      <c r="CK14" s="25"/>
      <c r="CL14" s="25"/>
      <c r="CM14" s="25"/>
      <c r="CN14" s="29"/>
      <c r="CO14" s="26"/>
      <c r="CP14" s="25"/>
      <c r="CQ14" s="25"/>
      <c r="CR14" s="25"/>
      <c r="CS14" s="25"/>
      <c r="CT14" s="25"/>
      <c r="CU14" s="28"/>
      <c r="CV14" s="61"/>
      <c r="CW14" s="33">
        <f>Table1[[#This Row],[LC Value (USD)]]-Table1[[#This Row],[Value]]-Table1[[#This Row],[Value3]]-Table1[[#This Row],[Value10]]-Table1[[#This Row],[Value17]]-Table1[[#This Row],[Value24]]-Table1[[#This Row],[Value31]]-Table1[[#This Row],[Value38]]-Table1[[#This Row],[Value45]]-Table1[[#This Row],[Value52]]-Table1[[#This Row],[Value59]]-Table1[[#This Row],[Value66]]-Table1[[#This Row],[Value73]]</f>
        <v>341988.22</v>
      </c>
    </row>
    <row r="15" spans="1:101" ht="24" x14ac:dyDescent="0.25">
      <c r="A15" s="118">
        <v>13</v>
      </c>
      <c r="B15" s="119" t="s">
        <v>315</v>
      </c>
      <c r="C15" s="120" t="str">
        <f>_xlfn.XLOOKUP(Table1[[#This Row],[Customer]], 'Cust Data'!D:D, 'Cust Data'!E:E, "N/A")</f>
        <v xml:space="preserve">Oman </v>
      </c>
      <c r="D15" s="120">
        <f>_xlfn.XLOOKUP(Table1[[#This Row],[Customer]], 'Cust Data'!D:D, 'Cust Data'!C:C, "N/A")</f>
        <v>2000006</v>
      </c>
      <c r="E15" s="120" t="s">
        <v>398</v>
      </c>
      <c r="F15" s="120" t="s">
        <v>74</v>
      </c>
      <c r="G15" s="122" t="s">
        <v>407</v>
      </c>
      <c r="H15" s="120" t="s">
        <v>400</v>
      </c>
      <c r="I15" s="138" t="s">
        <v>73</v>
      </c>
      <c r="J15" s="123">
        <v>46107</v>
      </c>
      <c r="K15" s="124">
        <v>46148</v>
      </c>
      <c r="L15" s="123">
        <v>46127</v>
      </c>
      <c r="M15" s="120" t="s">
        <v>26</v>
      </c>
      <c r="N15" s="126" t="s">
        <v>27</v>
      </c>
      <c r="O15" s="65">
        <v>775682.65</v>
      </c>
      <c r="P15" s="43">
        <v>91202373</v>
      </c>
      <c r="Q15" s="44"/>
      <c r="R15" s="25"/>
      <c r="S15" s="27"/>
      <c r="T15" s="25"/>
      <c r="U15" s="25"/>
      <c r="V15" s="29"/>
      <c r="W15" s="39">
        <v>91202528</v>
      </c>
      <c r="X15" s="25"/>
      <c r="Y15" s="25"/>
      <c r="Z15" s="25"/>
      <c r="AA15" s="25"/>
      <c r="AB15" s="25"/>
      <c r="AC15" s="29"/>
      <c r="AD15" s="26"/>
      <c r="AE15" s="25"/>
      <c r="AF15" s="25"/>
      <c r="AG15" s="25"/>
      <c r="AH15" s="25"/>
      <c r="AI15" s="25"/>
      <c r="AJ15" s="29"/>
      <c r="AK15" s="26"/>
      <c r="AL15" s="25"/>
      <c r="AM15" s="25"/>
      <c r="AN15" s="25"/>
      <c r="AO15" s="25"/>
      <c r="AP15" s="25"/>
      <c r="AQ15" s="29"/>
      <c r="AR15" s="26"/>
      <c r="AS15" s="25"/>
      <c r="AT15" s="25"/>
      <c r="AU15" s="25"/>
      <c r="AV15" s="25"/>
      <c r="AW15" s="25"/>
      <c r="AX15" s="29"/>
      <c r="AY15" s="26"/>
      <c r="AZ15" s="25"/>
      <c r="BA15" s="25"/>
      <c r="BB15" s="25"/>
      <c r="BC15" s="25"/>
      <c r="BD15" s="25"/>
      <c r="BE15" s="29"/>
      <c r="BF15" s="26"/>
      <c r="BG15" s="25"/>
      <c r="BH15" s="25"/>
      <c r="BI15" s="25"/>
      <c r="BJ15" s="25"/>
      <c r="BK15" s="25"/>
      <c r="BL15" s="29"/>
      <c r="BM15" s="26"/>
      <c r="BN15" s="25"/>
      <c r="BO15" s="25"/>
      <c r="BP15" s="25"/>
      <c r="BQ15" s="25"/>
      <c r="BR15" s="25"/>
      <c r="BS15" s="29"/>
      <c r="BT15" s="26"/>
      <c r="BU15" s="25"/>
      <c r="BV15" s="25"/>
      <c r="BW15" s="25"/>
      <c r="BX15" s="25"/>
      <c r="BY15" s="25"/>
      <c r="BZ15" s="29"/>
      <c r="CA15" s="26"/>
      <c r="CB15" s="25"/>
      <c r="CC15" s="25"/>
      <c r="CD15" s="25"/>
      <c r="CE15" s="25"/>
      <c r="CF15" s="25"/>
      <c r="CG15" s="29"/>
      <c r="CH15" s="26"/>
      <c r="CI15" s="25"/>
      <c r="CJ15" s="25"/>
      <c r="CK15" s="25"/>
      <c r="CL15" s="25"/>
      <c r="CM15" s="25"/>
      <c r="CN15" s="29"/>
      <c r="CO15" s="26"/>
      <c r="CP15" s="25"/>
      <c r="CQ15" s="25"/>
      <c r="CR15" s="25"/>
      <c r="CS15" s="25"/>
      <c r="CT15" s="25"/>
      <c r="CU15" s="28"/>
      <c r="CV15" s="61"/>
      <c r="CW15" s="33">
        <f>Table1[[#This Row],[LC Value (USD)]]-Table1[[#This Row],[Value]]-Table1[[#This Row],[Value3]]-Table1[[#This Row],[Value10]]-Table1[[#This Row],[Value17]]-Table1[[#This Row],[Value24]]-Table1[[#This Row],[Value31]]-Table1[[#This Row],[Value38]]-Table1[[#This Row],[Value45]]-Table1[[#This Row],[Value52]]-Table1[[#This Row],[Value59]]-Table1[[#This Row],[Value66]]-Table1[[#This Row],[Value73]]</f>
        <v>775682.65</v>
      </c>
    </row>
    <row r="16" spans="1:101" ht="24" x14ac:dyDescent="0.25">
      <c r="A16" s="118">
        <v>14</v>
      </c>
      <c r="B16" s="119" t="s">
        <v>316</v>
      </c>
      <c r="C16" s="120" t="str">
        <f>_xlfn.XLOOKUP(Table1[[#This Row],[Customer]], 'Cust Data'!D:D, 'Cust Data'!E:E, "N/A")</f>
        <v xml:space="preserve">Iraq </v>
      </c>
      <c r="D16" s="120">
        <f>_xlfn.XLOOKUP(Table1[[#This Row],[Customer]], 'Cust Data'!D:D, 'Cust Data'!C:C, "N/A")</f>
        <v>2000018</v>
      </c>
      <c r="E16" s="127" t="s">
        <v>404</v>
      </c>
      <c r="F16" s="127" t="s">
        <v>209</v>
      </c>
      <c r="G16" s="122" t="s">
        <v>407</v>
      </c>
      <c r="H16" s="127" t="s">
        <v>401</v>
      </c>
      <c r="I16" s="138" t="s">
        <v>211</v>
      </c>
      <c r="J16" s="128">
        <v>46146</v>
      </c>
      <c r="K16" s="124">
        <v>46229</v>
      </c>
      <c r="L16" s="128">
        <v>46214</v>
      </c>
      <c r="M16" s="127" t="s">
        <v>26</v>
      </c>
      <c r="N16" s="129" t="s">
        <v>27</v>
      </c>
      <c r="O16" s="65">
        <v>770487.61</v>
      </c>
      <c r="P16" s="45">
        <v>91219417</v>
      </c>
      <c r="Q16" s="116">
        <v>128390</v>
      </c>
      <c r="R16" s="46"/>
      <c r="S16" s="47"/>
      <c r="T16" s="46"/>
      <c r="U16" s="46"/>
      <c r="V16" s="48"/>
      <c r="W16" s="49">
        <v>91219491</v>
      </c>
      <c r="X16" s="115">
        <v>47539.5</v>
      </c>
      <c r="Y16" s="46"/>
      <c r="Z16" s="46"/>
      <c r="AA16" s="46"/>
      <c r="AB16" s="46"/>
      <c r="AC16" s="48"/>
      <c r="AD16" s="50">
        <v>91219571</v>
      </c>
      <c r="AE16" s="115">
        <v>37818.199999999997</v>
      </c>
      <c r="AF16" s="46"/>
      <c r="AG16" s="46"/>
      <c r="AH16" s="46"/>
      <c r="AI16" s="46"/>
      <c r="AJ16" s="48"/>
      <c r="AK16" s="50">
        <v>91226392</v>
      </c>
      <c r="AL16" s="115">
        <v>341377.25</v>
      </c>
      <c r="AM16" s="46"/>
      <c r="AN16" s="46"/>
      <c r="AO16" s="46"/>
      <c r="AP16" s="46"/>
      <c r="AQ16" s="48"/>
      <c r="AR16" s="50">
        <v>91226395</v>
      </c>
      <c r="AS16" s="115">
        <v>215275.4</v>
      </c>
      <c r="AT16" s="46"/>
      <c r="AU16" s="46"/>
      <c r="AV16" s="46"/>
      <c r="AW16" s="46"/>
      <c r="AX16" s="48"/>
      <c r="AY16" s="50"/>
      <c r="AZ16" s="46"/>
      <c r="BA16" s="46"/>
      <c r="BB16" s="46"/>
      <c r="BC16" s="46"/>
      <c r="BD16" s="46"/>
      <c r="BE16" s="48"/>
      <c r="BF16" s="50"/>
      <c r="BG16" s="46"/>
      <c r="BH16" s="46"/>
      <c r="BI16" s="46"/>
      <c r="BJ16" s="46"/>
      <c r="BK16" s="46"/>
      <c r="BL16" s="48"/>
      <c r="BM16" s="50"/>
      <c r="BN16" s="46"/>
      <c r="BO16" s="46"/>
      <c r="BP16" s="46"/>
      <c r="BQ16" s="46"/>
      <c r="BR16" s="46"/>
      <c r="BS16" s="48"/>
      <c r="BT16" s="50"/>
      <c r="BU16" s="46"/>
      <c r="BV16" s="46"/>
      <c r="BW16" s="46"/>
      <c r="BX16" s="46"/>
      <c r="BY16" s="46"/>
      <c r="BZ16" s="48"/>
      <c r="CA16" s="50"/>
      <c r="CB16" s="46"/>
      <c r="CC16" s="46"/>
      <c r="CD16" s="46"/>
      <c r="CE16" s="46"/>
      <c r="CF16" s="46"/>
      <c r="CG16" s="48"/>
      <c r="CH16" s="50"/>
      <c r="CI16" s="46"/>
      <c r="CJ16" s="46"/>
      <c r="CK16" s="46"/>
      <c r="CL16" s="46"/>
      <c r="CM16" s="46"/>
      <c r="CN16" s="48"/>
      <c r="CO16" s="50"/>
      <c r="CP16" s="46"/>
      <c r="CQ16" s="46"/>
      <c r="CR16" s="46"/>
      <c r="CS16" s="46"/>
      <c r="CT16" s="46"/>
      <c r="CU16" s="51"/>
      <c r="CV16" s="62"/>
      <c r="CW16" s="33">
        <f>Table1[[#This Row],[LC Value (USD)]]-Table1[[#This Row],[Value]]-Table1[[#This Row],[Value3]]-Table1[[#This Row],[Value10]]-Table1[[#This Row],[Value17]]-Table1[[#This Row],[Value24]]-Table1[[#This Row],[Value31]]-Table1[[#This Row],[Value38]]-Table1[[#This Row],[Value45]]-Table1[[#This Row],[Value52]]-Table1[[#This Row],[Value59]]-Table1[[#This Row],[Value66]]-Table1[[#This Row],[Value73]]</f>
        <v>87.260000000038417</v>
      </c>
    </row>
    <row r="17" spans="1:101" ht="24" x14ac:dyDescent="0.25">
      <c r="A17" s="118">
        <v>15</v>
      </c>
      <c r="B17" s="119" t="s">
        <v>315</v>
      </c>
      <c r="C17" s="120" t="str">
        <f>_xlfn.XLOOKUP(Table1[[#This Row],[Customer]], 'Cust Data'!D:D, 'Cust Data'!E:E, "N/A")</f>
        <v xml:space="preserve">Oman </v>
      </c>
      <c r="D17" s="120">
        <f>_xlfn.XLOOKUP(Table1[[#This Row],[Customer]], 'Cust Data'!D:D, 'Cust Data'!C:C, "N/A")</f>
        <v>2000006</v>
      </c>
      <c r="E17" s="120" t="s">
        <v>398</v>
      </c>
      <c r="F17" s="130" t="s">
        <v>413</v>
      </c>
      <c r="G17" s="122" t="s">
        <v>407</v>
      </c>
      <c r="H17" s="120" t="s">
        <v>214</v>
      </c>
      <c r="I17" s="138" t="s">
        <v>213</v>
      </c>
      <c r="J17" s="123">
        <v>46162</v>
      </c>
      <c r="K17" s="124">
        <v>46209</v>
      </c>
      <c r="L17" s="128">
        <v>46188</v>
      </c>
      <c r="M17" s="127" t="s">
        <v>26</v>
      </c>
      <c r="N17" s="129" t="s">
        <v>27</v>
      </c>
      <c r="O17" s="65">
        <v>475824.47</v>
      </c>
      <c r="P17" s="43">
        <v>91219680</v>
      </c>
      <c r="Q17" s="44">
        <v>105721</v>
      </c>
      <c r="R17" s="25"/>
      <c r="S17" s="27"/>
      <c r="T17" s="25"/>
      <c r="U17" s="25"/>
      <c r="V17" s="29"/>
      <c r="W17" s="39">
        <v>91219652</v>
      </c>
      <c r="X17" s="25">
        <v>657.72</v>
      </c>
      <c r="Y17" s="25"/>
      <c r="Z17" s="25"/>
      <c r="AA17" s="25"/>
      <c r="AB17" s="25"/>
      <c r="AC17" s="29"/>
      <c r="AD17" s="26">
        <v>91219676</v>
      </c>
      <c r="AE17" s="25">
        <v>33645.72</v>
      </c>
      <c r="AF17" s="25"/>
      <c r="AG17" s="25"/>
      <c r="AH17" s="25"/>
      <c r="AI17" s="25"/>
      <c r="AJ17" s="29"/>
      <c r="AK17" s="26">
        <v>91219677</v>
      </c>
      <c r="AL17" s="25">
        <v>11803.26</v>
      </c>
      <c r="AM17" s="25"/>
      <c r="AN17" s="25"/>
      <c r="AO17" s="25"/>
      <c r="AP17" s="25"/>
      <c r="AQ17" s="29"/>
      <c r="AR17" s="26">
        <v>91219678</v>
      </c>
      <c r="AS17" s="25">
        <v>29952.18</v>
      </c>
      <c r="AT17" s="25"/>
      <c r="AU17" s="25"/>
      <c r="AV17" s="25"/>
      <c r="AW17" s="25"/>
      <c r="AX17" s="29"/>
      <c r="AY17" s="26">
        <v>91219681</v>
      </c>
      <c r="AZ17" s="25">
        <v>24066.720000000001</v>
      </c>
      <c r="BA17" s="25"/>
      <c r="BB17" s="25"/>
      <c r="BC17" s="25"/>
      <c r="BD17" s="25"/>
      <c r="BE17" s="29"/>
      <c r="BF17" s="26">
        <v>91219690</v>
      </c>
      <c r="BG17" s="25">
        <v>11078.72</v>
      </c>
      <c r="BH17" s="25"/>
      <c r="BI17" s="25"/>
      <c r="BJ17" s="25"/>
      <c r="BK17" s="25"/>
      <c r="BL17" s="29"/>
      <c r="BM17" s="26">
        <v>91219898</v>
      </c>
      <c r="BN17" s="25">
        <v>218152.89</v>
      </c>
      <c r="BO17" s="25"/>
      <c r="BP17" s="25"/>
      <c r="BQ17" s="25"/>
      <c r="BR17" s="25"/>
      <c r="BS17" s="29"/>
      <c r="BT17" s="26"/>
      <c r="BU17" s="25"/>
      <c r="BV17" s="25"/>
      <c r="BW17" s="25"/>
      <c r="BX17" s="25"/>
      <c r="BY17" s="25"/>
      <c r="BZ17" s="29"/>
      <c r="CA17" s="26"/>
      <c r="CB17" s="25"/>
      <c r="CC17" s="25"/>
      <c r="CD17" s="25"/>
      <c r="CE17" s="25"/>
      <c r="CF17" s="25"/>
      <c r="CG17" s="29"/>
      <c r="CH17" s="26"/>
      <c r="CI17" s="25"/>
      <c r="CJ17" s="25"/>
      <c r="CK17" s="25"/>
      <c r="CL17" s="25"/>
      <c r="CM17" s="25"/>
      <c r="CN17" s="29"/>
      <c r="CO17" s="26"/>
      <c r="CP17" s="25"/>
      <c r="CQ17" s="25"/>
      <c r="CR17" s="25"/>
      <c r="CS17" s="25"/>
      <c r="CT17" s="25"/>
      <c r="CU17" s="28"/>
      <c r="CV17" s="61"/>
      <c r="CW17" s="33">
        <f>Table1[[#This Row],[LC Value (USD)]]-Table1[[#This Row],[Value]]-Table1[[#This Row],[Value3]]-Table1[[#This Row],[Value10]]-Table1[[#This Row],[Value17]]-Table1[[#This Row],[Value24]]-Table1[[#This Row],[Value31]]-Table1[[#This Row],[Value38]]-Table1[[#This Row],[Value45]]-Table1[[#This Row],[Value52]]-Table1[[#This Row],[Value59]]-Table1[[#This Row],[Value66]]-Table1[[#This Row],[Value73]]</f>
        <v>40746.25999999998</v>
      </c>
    </row>
    <row r="18" spans="1:101" ht="24" x14ac:dyDescent="0.25">
      <c r="A18" s="118">
        <v>16</v>
      </c>
      <c r="B18" s="119" t="s">
        <v>385</v>
      </c>
      <c r="C18" s="120" t="str">
        <f>_xlfn.XLOOKUP(Table1[[#This Row],[Customer]], 'Cust Data'!D:D, 'Cust Data'!E:E, "N/A")</f>
        <v xml:space="preserve">UAE </v>
      </c>
      <c r="D18" s="120">
        <f>_xlfn.XLOOKUP(Table1[[#This Row],[Customer]], 'Cust Data'!D:D, 'Cust Data'!C:C, "N/A")</f>
        <v>2002279</v>
      </c>
      <c r="E18" s="131" t="s">
        <v>218</v>
      </c>
      <c r="F18" s="132" t="s">
        <v>412</v>
      </c>
      <c r="G18" s="122" t="s">
        <v>409</v>
      </c>
      <c r="H18" s="131"/>
      <c r="I18" s="139" t="s">
        <v>219</v>
      </c>
      <c r="J18" s="133">
        <v>46162</v>
      </c>
      <c r="K18" s="124">
        <v>46223</v>
      </c>
      <c r="L18" s="133">
        <v>46202</v>
      </c>
      <c r="M18" s="127" t="s">
        <v>26</v>
      </c>
      <c r="N18" s="134" t="s">
        <v>27</v>
      </c>
      <c r="O18" s="76">
        <v>90596</v>
      </c>
      <c r="P18" s="77"/>
      <c r="Q18" s="78"/>
      <c r="R18" s="77"/>
      <c r="S18" s="79"/>
      <c r="T18" s="77"/>
      <c r="U18" s="77"/>
      <c r="V18" s="77"/>
      <c r="W18" s="50"/>
      <c r="X18" s="77"/>
      <c r="Y18" s="77"/>
      <c r="Z18" s="77"/>
      <c r="AA18" s="77"/>
      <c r="AB18" s="77"/>
      <c r="AC18" s="77"/>
      <c r="AD18" s="50"/>
      <c r="AE18" s="77"/>
      <c r="AF18" s="77"/>
      <c r="AG18" s="77"/>
      <c r="AH18" s="77"/>
      <c r="AI18" s="77"/>
      <c r="AJ18" s="77"/>
      <c r="AK18" s="50"/>
      <c r="AL18" s="77"/>
      <c r="AM18" s="77"/>
      <c r="AN18" s="77"/>
      <c r="AO18" s="77"/>
      <c r="AP18" s="77"/>
      <c r="AQ18" s="77"/>
      <c r="AR18" s="50"/>
      <c r="AS18" s="77"/>
      <c r="AT18" s="77"/>
      <c r="AU18" s="77"/>
      <c r="AV18" s="77"/>
      <c r="AW18" s="77"/>
      <c r="AX18" s="77"/>
      <c r="AY18" s="50"/>
      <c r="AZ18" s="77"/>
      <c r="BA18" s="77"/>
      <c r="BB18" s="77"/>
      <c r="BC18" s="77"/>
      <c r="BD18" s="77"/>
      <c r="BE18" s="77"/>
      <c r="BF18" s="50"/>
      <c r="BG18" s="77"/>
      <c r="BH18" s="77"/>
      <c r="BI18" s="77"/>
      <c r="BJ18" s="77"/>
      <c r="BK18" s="77"/>
      <c r="BL18" s="48"/>
      <c r="BM18" s="77"/>
      <c r="BN18" s="77"/>
      <c r="BO18" s="77"/>
      <c r="BP18" s="77"/>
      <c r="BQ18" s="77"/>
      <c r="BR18" s="77"/>
      <c r="BS18" s="48"/>
      <c r="BT18" s="77"/>
      <c r="BU18" s="77"/>
      <c r="BV18" s="77"/>
      <c r="BW18" s="77"/>
      <c r="BX18" s="77"/>
      <c r="BY18" s="77"/>
      <c r="BZ18" s="48"/>
      <c r="CA18" s="77"/>
      <c r="CB18" s="77"/>
      <c r="CC18" s="77"/>
      <c r="CD18" s="77"/>
      <c r="CE18" s="77"/>
      <c r="CF18" s="77"/>
      <c r="CG18" s="48"/>
      <c r="CH18" s="77"/>
      <c r="CI18" s="77"/>
      <c r="CJ18" s="77"/>
      <c r="CK18" s="77"/>
      <c r="CL18" s="77"/>
      <c r="CM18" s="77"/>
      <c r="CN18" s="48"/>
      <c r="CO18" s="77"/>
      <c r="CP18" s="77"/>
      <c r="CQ18" s="77"/>
      <c r="CR18" s="77"/>
      <c r="CS18" s="77"/>
      <c r="CT18" s="77"/>
      <c r="CU18" s="77"/>
      <c r="CV18" s="62"/>
      <c r="CW18" s="33">
        <f>Table1[[#This Row],[LC Value (USD)]]-Table1[[#This Row],[Value]]-Table1[[#This Row],[Value3]]-Table1[[#This Row],[Value10]]-Table1[[#This Row],[Value17]]-Table1[[#This Row],[Value24]]-Table1[[#This Row],[Value31]]-Table1[[#This Row],[Value38]]-Table1[[#This Row],[Value45]]-Table1[[#This Row],[Value52]]-Table1[[#This Row],[Value59]]-Table1[[#This Row],[Value66]]-Table1[[#This Row],[Value73]]</f>
        <v>90596</v>
      </c>
    </row>
    <row r="19" spans="1:101" ht="24" x14ac:dyDescent="0.25">
      <c r="A19" s="118">
        <v>17</v>
      </c>
      <c r="B19" s="119" t="s">
        <v>271</v>
      </c>
      <c r="C19" s="120" t="str">
        <f>_xlfn.XLOOKUP(Table1[[#This Row],[Customer]], 'Cust Data'!D:D, 'Cust Data'!E:E, "N/A")</f>
        <v>Ethiopia</v>
      </c>
      <c r="D19" s="120">
        <f>_xlfn.XLOOKUP(Table1[[#This Row],[Customer]], 'Cust Data'!D:D, 'Cust Data'!C:C, "N/A")</f>
        <v>2001210</v>
      </c>
      <c r="E19" s="120" t="s">
        <v>221</v>
      </c>
      <c r="F19" s="130" t="s">
        <v>455</v>
      </c>
      <c r="G19" s="122" t="s">
        <v>93</v>
      </c>
      <c r="H19" s="120" t="s">
        <v>399</v>
      </c>
      <c r="I19" s="138" t="s">
        <v>222</v>
      </c>
      <c r="J19" s="123">
        <v>46162</v>
      </c>
      <c r="K19" s="124">
        <v>46251</v>
      </c>
      <c r="L19" s="128">
        <v>46223</v>
      </c>
      <c r="M19" s="127" t="s">
        <v>223</v>
      </c>
      <c r="N19" s="134" t="s">
        <v>27</v>
      </c>
      <c r="O19" s="111">
        <v>563636.54</v>
      </c>
      <c r="P19" s="43">
        <v>91220291</v>
      </c>
      <c r="Q19" s="112">
        <v>45607.32</v>
      </c>
      <c r="R19" s="25"/>
      <c r="S19" s="27"/>
      <c r="T19" s="25"/>
      <c r="U19" s="25"/>
      <c r="V19" s="29"/>
      <c r="W19" s="39">
        <v>91220476</v>
      </c>
      <c r="X19" s="113">
        <v>394993.25</v>
      </c>
      <c r="Y19" s="25"/>
      <c r="Z19" s="25"/>
      <c r="AA19" s="25"/>
      <c r="AB19" s="25"/>
      <c r="AC19" s="29"/>
      <c r="AD19" s="26"/>
      <c r="AE19" s="25"/>
      <c r="AF19" s="25"/>
      <c r="AG19" s="25"/>
      <c r="AH19" s="25"/>
      <c r="AI19" s="25"/>
      <c r="AJ19" s="29"/>
      <c r="AK19" s="26"/>
      <c r="AL19" s="25"/>
      <c r="AM19" s="25"/>
      <c r="AN19" s="25"/>
      <c r="AO19" s="25"/>
      <c r="AP19" s="25"/>
      <c r="AQ19" s="29"/>
      <c r="AR19" s="26"/>
      <c r="AS19" s="25"/>
      <c r="AT19" s="25"/>
      <c r="AU19" s="25"/>
      <c r="AV19" s="25"/>
      <c r="AW19" s="25"/>
      <c r="AX19" s="29"/>
      <c r="AY19" s="26"/>
      <c r="AZ19" s="25"/>
      <c r="BA19" s="25"/>
      <c r="BB19" s="25"/>
      <c r="BC19" s="25"/>
      <c r="BD19" s="25"/>
      <c r="BE19" s="29"/>
      <c r="BF19" s="26"/>
      <c r="BG19" s="25"/>
      <c r="BH19" s="25"/>
      <c r="BI19" s="25"/>
      <c r="BJ19" s="25"/>
      <c r="BK19" s="25"/>
      <c r="BL19" s="29"/>
      <c r="BM19" s="26"/>
      <c r="BN19" s="25"/>
      <c r="BO19" s="25"/>
      <c r="BP19" s="25"/>
      <c r="BQ19" s="25"/>
      <c r="BR19" s="25"/>
      <c r="BS19" s="29"/>
      <c r="BT19" s="26"/>
      <c r="BU19" s="25"/>
      <c r="BV19" s="25"/>
      <c r="BW19" s="25"/>
      <c r="BX19" s="25"/>
      <c r="BY19" s="25"/>
      <c r="BZ19" s="29"/>
      <c r="CA19" s="26"/>
      <c r="CB19" s="25"/>
      <c r="CC19" s="25"/>
      <c r="CD19" s="25"/>
      <c r="CE19" s="25"/>
      <c r="CF19" s="25"/>
      <c r="CG19" s="29"/>
      <c r="CH19" s="26"/>
      <c r="CI19" s="25"/>
      <c r="CJ19" s="25"/>
      <c r="CK19" s="25"/>
      <c r="CL19" s="25"/>
      <c r="CM19" s="25"/>
      <c r="CN19" s="29"/>
      <c r="CO19" s="26"/>
      <c r="CP19" s="25"/>
      <c r="CQ19" s="25"/>
      <c r="CR19" s="25"/>
      <c r="CS19" s="25"/>
      <c r="CT19" s="25"/>
      <c r="CU19" s="28"/>
      <c r="CV19" s="61"/>
      <c r="CW19" s="114">
        <f>Table1[[#This Row],[LC Value (USD)]]-Table1[[#This Row],[Value]]-Table1[[#This Row],[Value3]]-Table1[[#This Row],[Value10]]-Table1[[#This Row],[Value17]]-Table1[[#This Row],[Value24]]-Table1[[#This Row],[Value31]]-Table1[[#This Row],[Value38]]-Table1[[#This Row],[Value45]]-Table1[[#This Row],[Value52]]-Table1[[#This Row],[Value59]]-Table1[[#This Row],[Value66]]-Table1[[#This Row],[Value73]]</f>
        <v>123035.97000000003</v>
      </c>
    </row>
    <row r="20" spans="1:101" ht="24" x14ac:dyDescent="0.25">
      <c r="A20" s="118">
        <v>18</v>
      </c>
      <c r="B20" s="119" t="s">
        <v>326</v>
      </c>
      <c r="C20" s="120" t="str">
        <f>_xlfn.XLOOKUP(Table1[[#This Row],[Customer]], 'Cust Data'!D:D, 'Cust Data'!E:E, "N/A")</f>
        <v>Libya</v>
      </c>
      <c r="D20" s="120">
        <f>_xlfn.XLOOKUP(Table1[[#This Row],[Customer]], 'Cust Data'!D:D, 'Cust Data'!C:C, "N/A")</f>
        <v>2001514</v>
      </c>
      <c r="E20" s="120" t="s">
        <v>402</v>
      </c>
      <c r="F20" s="130" t="s">
        <v>224</v>
      </c>
      <c r="G20" s="122" t="s">
        <v>408</v>
      </c>
      <c r="H20" s="120" t="s">
        <v>226</v>
      </c>
      <c r="I20" s="138" t="s">
        <v>225</v>
      </c>
      <c r="J20" s="123">
        <v>46166</v>
      </c>
      <c r="K20" s="124">
        <v>46257</v>
      </c>
      <c r="L20" s="124">
        <v>46257</v>
      </c>
      <c r="M20" s="127" t="s">
        <v>26</v>
      </c>
      <c r="N20" s="134" t="s">
        <v>27</v>
      </c>
      <c r="O20" s="65">
        <v>148875.1</v>
      </c>
      <c r="P20" s="43"/>
      <c r="Q20" s="44"/>
      <c r="R20" s="25"/>
      <c r="S20" s="27"/>
      <c r="T20" s="25"/>
      <c r="U20" s="25"/>
      <c r="V20" s="29"/>
      <c r="W20" s="39"/>
      <c r="X20" s="81"/>
      <c r="Y20" s="25"/>
      <c r="Z20" s="25"/>
      <c r="AA20" s="25"/>
      <c r="AB20" s="25"/>
      <c r="AC20" s="29"/>
      <c r="AD20" s="26"/>
      <c r="AE20" s="25"/>
      <c r="AF20" s="25"/>
      <c r="AG20" s="25"/>
      <c r="AH20" s="25"/>
      <c r="AI20" s="25"/>
      <c r="AJ20" s="29"/>
      <c r="AK20" s="26"/>
      <c r="AL20" s="25"/>
      <c r="AM20" s="25"/>
      <c r="AN20" s="25"/>
      <c r="AO20" s="25"/>
      <c r="AP20" s="25"/>
      <c r="AQ20" s="29"/>
      <c r="AR20" s="26"/>
      <c r="AS20" s="25"/>
      <c r="AT20" s="25"/>
      <c r="AU20" s="25"/>
      <c r="AV20" s="25"/>
      <c r="AW20" s="25"/>
      <c r="AX20" s="29"/>
      <c r="AY20" s="26"/>
      <c r="AZ20" s="25"/>
      <c r="BA20" s="25"/>
      <c r="BB20" s="25"/>
      <c r="BC20" s="25"/>
      <c r="BD20" s="25"/>
      <c r="BE20" s="29"/>
      <c r="BF20" s="26"/>
      <c r="BG20" s="25"/>
      <c r="BH20" s="25"/>
      <c r="BI20" s="25"/>
      <c r="BJ20" s="25"/>
      <c r="BK20" s="25"/>
      <c r="BL20" s="29"/>
      <c r="BM20" s="26"/>
      <c r="BN20" s="25"/>
      <c r="BO20" s="25"/>
      <c r="BP20" s="25"/>
      <c r="BQ20" s="25"/>
      <c r="BR20" s="25"/>
      <c r="BS20" s="29"/>
      <c r="BT20" s="26"/>
      <c r="BU20" s="25"/>
      <c r="BV20" s="25"/>
      <c r="BW20" s="25"/>
      <c r="BX20" s="25"/>
      <c r="BY20" s="25"/>
      <c r="BZ20" s="29"/>
      <c r="CA20" s="26"/>
      <c r="CB20" s="25"/>
      <c r="CC20" s="25"/>
      <c r="CD20" s="25"/>
      <c r="CE20" s="25"/>
      <c r="CF20" s="25"/>
      <c r="CG20" s="29"/>
      <c r="CH20" s="26"/>
      <c r="CI20" s="25"/>
      <c r="CJ20" s="25"/>
      <c r="CK20" s="25"/>
      <c r="CL20" s="25"/>
      <c r="CM20" s="25"/>
      <c r="CN20" s="29"/>
      <c r="CO20" s="26"/>
      <c r="CP20" s="25"/>
      <c r="CQ20" s="25"/>
      <c r="CR20" s="25"/>
      <c r="CS20" s="25"/>
      <c r="CT20" s="25"/>
      <c r="CU20" s="28"/>
      <c r="CV20" s="33"/>
      <c r="CW20" s="103">
        <f>Table1[[#This Row],[LC Value (USD)]]-Table1[[#This Row],[Value]]-Table1[[#This Row],[Value3]]-Table1[[#This Row],[Value10]]-Table1[[#This Row],[Value17]]-Table1[[#This Row],[Value24]]-Table1[[#This Row],[Value31]]-Table1[[#This Row],[Value38]]-Table1[[#This Row],[Value45]]-Table1[[#This Row],[Value52]]-Table1[[#This Row],[Value59]]-Table1[[#This Row],[Value66]]-Table1[[#This Row],[Value73]]</f>
        <v>148875.1</v>
      </c>
    </row>
    <row r="21" spans="1:101" ht="24" x14ac:dyDescent="0.25">
      <c r="A21" s="118">
        <v>19</v>
      </c>
      <c r="B21" s="119" t="s">
        <v>261</v>
      </c>
      <c r="C21" s="120" t="str">
        <f>_xlfn.XLOOKUP(Table1[[#This Row],[Customer]], 'Cust Data'!D:D, 'Cust Data'!E:E, "N/A")</f>
        <v xml:space="preserve">Libya </v>
      </c>
      <c r="D21" s="120">
        <f>_xlfn.XLOOKUP(Table1[[#This Row],[Customer]], 'Cust Data'!D:D, 'Cust Data'!C:C, "N/A")</f>
        <v>2000012</v>
      </c>
      <c r="E21" s="131" t="s">
        <v>402</v>
      </c>
      <c r="F21" s="132" t="s">
        <v>227</v>
      </c>
      <c r="G21" s="122" t="s">
        <v>408</v>
      </c>
      <c r="H21" s="131" t="s">
        <v>59</v>
      </c>
      <c r="I21" s="139" t="s">
        <v>228</v>
      </c>
      <c r="J21" s="133">
        <v>46177</v>
      </c>
      <c r="K21" s="135">
        <v>46267</v>
      </c>
      <c r="L21" s="135">
        <v>46247</v>
      </c>
      <c r="M21" s="131" t="s">
        <v>26</v>
      </c>
      <c r="N21" s="134" t="s">
        <v>27</v>
      </c>
      <c r="O21" s="76">
        <v>753141</v>
      </c>
      <c r="P21" s="77"/>
      <c r="Q21" s="78"/>
      <c r="R21" s="77"/>
      <c r="S21" s="79"/>
      <c r="T21" s="77"/>
      <c r="U21" s="77"/>
      <c r="V21" s="29"/>
      <c r="W21" s="39"/>
      <c r="X21" s="82"/>
      <c r="Y21" s="25"/>
      <c r="Z21" s="25"/>
      <c r="AA21" s="25"/>
      <c r="AB21" s="25"/>
      <c r="AC21" s="29"/>
      <c r="AD21" s="39"/>
      <c r="AE21" s="82"/>
      <c r="AF21" s="25"/>
      <c r="AG21" s="25"/>
      <c r="AH21" s="25"/>
      <c r="AI21" s="25"/>
      <c r="AJ21" s="29"/>
      <c r="AK21" s="39"/>
      <c r="AL21" s="82"/>
      <c r="AM21" s="25"/>
      <c r="AN21" s="25"/>
      <c r="AO21" s="25"/>
      <c r="AP21" s="25"/>
      <c r="AQ21" s="29"/>
      <c r="AR21" s="39"/>
      <c r="AS21" s="82"/>
      <c r="AT21" s="25"/>
      <c r="AU21" s="25"/>
      <c r="AV21" s="25"/>
      <c r="AW21" s="25"/>
      <c r="AX21" s="29"/>
      <c r="AY21" s="39"/>
      <c r="AZ21" s="82"/>
      <c r="BA21" s="25"/>
      <c r="BB21" s="25"/>
      <c r="BC21" s="25"/>
      <c r="BD21" s="25"/>
      <c r="BE21" s="29"/>
      <c r="BF21" s="39"/>
      <c r="BG21" s="82"/>
      <c r="BH21" s="25"/>
      <c r="BI21" s="25"/>
      <c r="BJ21" s="25"/>
      <c r="BK21" s="25"/>
      <c r="BL21" s="29"/>
      <c r="BM21" s="39"/>
      <c r="BN21" s="82"/>
      <c r="BO21" s="25"/>
      <c r="BP21" s="25"/>
      <c r="BQ21" s="25"/>
      <c r="BR21" s="25"/>
      <c r="BS21" s="29"/>
      <c r="BT21" s="39"/>
      <c r="BU21" s="82"/>
      <c r="BV21" s="25"/>
      <c r="BW21" s="25"/>
      <c r="BX21" s="25"/>
      <c r="BY21" s="25"/>
      <c r="BZ21" s="29"/>
      <c r="CA21" s="39"/>
      <c r="CB21" s="82"/>
      <c r="CC21" s="25"/>
      <c r="CD21" s="25"/>
      <c r="CE21" s="25"/>
      <c r="CF21" s="25"/>
      <c r="CG21" s="29"/>
      <c r="CH21" s="39"/>
      <c r="CI21" s="82"/>
      <c r="CJ21" s="25"/>
      <c r="CK21" s="25"/>
      <c r="CL21" s="25"/>
      <c r="CM21" s="25"/>
      <c r="CN21" s="29"/>
      <c r="CO21" s="39"/>
      <c r="CP21" s="82"/>
      <c r="CQ21" s="25"/>
      <c r="CR21" s="25"/>
      <c r="CS21" s="25"/>
      <c r="CT21" s="25"/>
      <c r="CU21" s="29"/>
      <c r="CV21" s="62"/>
      <c r="CW21" s="103">
        <f>Table1[[#This Row],[LC Value (USD)]]-Table1[[#This Row],[Value]]-Table1[[#This Row],[Value3]]-Table1[[#This Row],[Value10]]-Table1[[#This Row],[Value17]]-Table1[[#This Row],[Value24]]-Table1[[#This Row],[Value31]]-Table1[[#This Row],[Value38]]-Table1[[#This Row],[Value45]]-Table1[[#This Row],[Value52]]-Table1[[#This Row],[Value59]]-Table1[[#This Row],[Value66]]-Table1[[#This Row],[Value73]]</f>
        <v>753141</v>
      </c>
    </row>
    <row r="22" spans="1:101" ht="24.75" thickBot="1" x14ac:dyDescent="0.3">
      <c r="A22" s="136">
        <v>20</v>
      </c>
      <c r="B22" s="119" t="s">
        <v>315</v>
      </c>
      <c r="C22" s="131" t="str">
        <f>_xlfn.XLOOKUP(Table1[[#This Row],[Customer]], 'Cust Data'!D:D, 'Cust Data'!E:E, "N/A")</f>
        <v xml:space="preserve">Oman </v>
      </c>
      <c r="D22" s="120">
        <f>_xlfn.XLOOKUP(Table1[[#This Row],[Customer]], 'Cust Data'!D:D, 'Cust Data'!C:C, "N/A")</f>
        <v>2000006</v>
      </c>
      <c r="E22" s="131" t="s">
        <v>212</v>
      </c>
      <c r="F22" s="132" t="s">
        <v>460</v>
      </c>
      <c r="G22" s="137" t="s">
        <v>407</v>
      </c>
      <c r="H22" s="131" t="s">
        <v>214</v>
      </c>
      <c r="I22" s="139" t="s">
        <v>459</v>
      </c>
      <c r="J22" s="133">
        <v>46195</v>
      </c>
      <c r="K22" s="135">
        <v>46239</v>
      </c>
      <c r="L22" s="135">
        <v>46218</v>
      </c>
      <c r="M22" s="131" t="s">
        <v>26</v>
      </c>
      <c r="N22" s="134" t="s">
        <v>27</v>
      </c>
      <c r="O22" s="76">
        <v>648430.57999999996</v>
      </c>
      <c r="P22" s="77"/>
      <c r="Q22" s="78"/>
      <c r="R22" s="77"/>
      <c r="S22" s="79"/>
      <c r="T22" s="77"/>
      <c r="U22" s="77"/>
      <c r="V22" s="77"/>
      <c r="W22" s="77"/>
      <c r="X22" s="82"/>
      <c r="Y22" s="77"/>
      <c r="Z22" s="77"/>
      <c r="AA22" s="77"/>
      <c r="AB22" s="77"/>
      <c r="AC22" s="77"/>
      <c r="AD22" s="77"/>
      <c r="AE22" s="82"/>
      <c r="AF22" s="77"/>
      <c r="AG22" s="77"/>
      <c r="AH22" s="77"/>
      <c r="AI22" s="77"/>
      <c r="AJ22" s="77"/>
      <c r="AK22" s="77"/>
      <c r="AL22" s="82"/>
      <c r="AM22" s="77"/>
      <c r="AN22" s="77"/>
      <c r="AO22" s="77"/>
      <c r="AP22" s="77"/>
      <c r="AQ22" s="77"/>
      <c r="AR22" s="77"/>
      <c r="AS22" s="82"/>
      <c r="AT22" s="77"/>
      <c r="AU22" s="77"/>
      <c r="AV22" s="77"/>
      <c r="AW22" s="77"/>
      <c r="AX22" s="77"/>
      <c r="AY22" s="77"/>
      <c r="AZ22" s="82"/>
      <c r="BA22" s="77"/>
      <c r="BB22" s="77"/>
      <c r="BC22" s="77"/>
      <c r="BD22" s="77"/>
      <c r="BE22" s="77"/>
      <c r="BF22" s="77"/>
      <c r="BG22" s="82"/>
      <c r="BH22" s="77"/>
      <c r="BI22" s="77"/>
      <c r="BJ22" s="77"/>
      <c r="BK22" s="77"/>
      <c r="BL22" s="77"/>
      <c r="BM22" s="77"/>
      <c r="BN22" s="82"/>
      <c r="BO22" s="77"/>
      <c r="BP22" s="77"/>
      <c r="BQ22" s="77"/>
      <c r="BR22" s="77"/>
      <c r="BS22" s="77"/>
      <c r="BT22" s="77"/>
      <c r="BU22" s="82"/>
      <c r="BV22" s="77"/>
      <c r="BW22" s="77"/>
      <c r="BX22" s="77"/>
      <c r="BY22" s="77"/>
      <c r="BZ22" s="77"/>
      <c r="CA22" s="77"/>
      <c r="CB22" s="82"/>
      <c r="CC22" s="77"/>
      <c r="CD22" s="77"/>
      <c r="CE22" s="77"/>
      <c r="CF22" s="77"/>
      <c r="CG22" s="77"/>
      <c r="CH22" s="77"/>
      <c r="CI22" s="82"/>
      <c r="CJ22" s="77"/>
      <c r="CK22" s="77"/>
      <c r="CL22" s="77"/>
      <c r="CM22" s="77"/>
      <c r="CN22" s="77"/>
      <c r="CO22" s="77"/>
      <c r="CP22" s="82"/>
      <c r="CQ22" s="77"/>
      <c r="CR22" s="77"/>
      <c r="CS22" s="77"/>
      <c r="CT22" s="77"/>
      <c r="CU22" s="77"/>
      <c r="CV22" s="62"/>
      <c r="CW22" s="117"/>
    </row>
    <row r="23" spans="1:101" ht="15.75" thickBot="1" x14ac:dyDescent="0.3">
      <c r="A23" s="57"/>
      <c r="B23" s="57"/>
      <c r="C23" s="57"/>
      <c r="D23" s="42"/>
      <c r="E23" s="57"/>
      <c r="F23" s="57"/>
      <c r="G23" s="57"/>
      <c r="H23" s="57"/>
      <c r="I23" s="57"/>
      <c r="J23" s="57"/>
      <c r="K23" s="57"/>
      <c r="L23" s="57"/>
      <c r="M23" s="57"/>
      <c r="N23" s="57" t="s">
        <v>106</v>
      </c>
      <c r="O23" s="59">
        <f ca="1">SUM(INDIRECT("o3:o" &amp;ROW()-1))</f>
        <v>10931242.800000001</v>
      </c>
      <c r="Q23" s="56"/>
      <c r="X23" s="56"/>
      <c r="AE23" s="56"/>
      <c r="AL23" s="56"/>
      <c r="AS23" s="56"/>
      <c r="AZ23" s="56"/>
      <c r="BG23" s="56"/>
      <c r="BN23" s="56"/>
      <c r="BU23" s="56"/>
      <c r="CB23" s="56"/>
      <c r="CI23" s="56"/>
      <c r="CP23" s="56"/>
      <c r="CV23" s="63"/>
      <c r="CW23" s="58">
        <f>SUBTOTAL(109,CW3:CW16)</f>
        <v>2929745.8900000006</v>
      </c>
    </row>
    <row r="24" spans="1:101" x14ac:dyDescent="0.25">
      <c r="M24" s="80"/>
      <c r="N24" s="57"/>
    </row>
    <row r="25" spans="1:101" x14ac:dyDescent="0.25">
      <c r="N25" s="57"/>
      <c r="O25" s="64"/>
    </row>
    <row r="26" spans="1:101" x14ac:dyDescent="0.25">
      <c r="N26" s="57"/>
    </row>
  </sheetData>
  <mergeCells count="1">
    <mergeCell ref="A1:AJ1"/>
  </mergeCells>
  <phoneticPr fontId="18" type="noConversion"/>
  <conditionalFormatting sqref="CW3:CW22 CV20">
    <cfRule type="cellIs" dxfId="18" priority="1" operator="greaterThan">
      <formula>0</formula>
    </cfRule>
  </conditionalFormatting>
  <pageMargins left="0.75" right="0.75" top="1" bottom="1" header="0.511811023622047" footer="0.511811023622047"/>
  <pageSetup paperSize="9" orientation="portrait" horizontalDpi="300" verticalDpi="30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A5D3FFB-1187-48F5-BCE6-CD5CBE0C29DF}">
          <x14:formula1>
            <xm:f>'Banks Data'!$C$3:$C$20</xm:f>
          </x14:formula1>
          <xm:sqref>E3:E22</xm:sqref>
        </x14:dataValidation>
        <x14:dataValidation type="list" allowBlank="1" showInputMessage="1" showErrorMessage="1" xr:uid="{16569D8E-06CD-4128-961B-BEBCE0CCE7D6}">
          <x14:formula1>
            <xm:f>'Banks Data'!$F$3:$F$10</xm:f>
          </x14:formula1>
          <xm:sqref>H3:H22</xm:sqref>
        </x14:dataValidation>
        <x14:dataValidation type="list" allowBlank="1" showInputMessage="1" showErrorMessage="1" xr:uid="{35A9EF7A-BB68-4B53-BCF6-6FFA6CD9CCBB}">
          <x14:formula1>
            <xm:f>'Payment Term'!$C$4:$C$118</xm:f>
          </x14:formula1>
          <xm:sqref>G3:G22</xm:sqref>
        </x14:dataValidation>
        <x14:dataValidation type="list" allowBlank="1" showInputMessage="1" showErrorMessage="1" xr:uid="{3B5CAC29-4748-447B-B85E-059C1C6D55C9}">
          <x14:formula1>
            <xm:f>'Cust Data'!$D$3:$D$230</xm:f>
          </x14:formula1>
          <xm:sqref>B3:B22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98072-BADA-4B3B-8292-6E9626E1CD73}">
  <sheetPr>
    <pageSetUpPr fitToPage="1"/>
  </sheetPr>
  <dimension ref="B4:N18"/>
  <sheetViews>
    <sheetView showWhiteSpace="0" zoomScaleNormal="100" workbookViewId="0">
      <selection activeCell="I26" sqref="I26"/>
    </sheetView>
  </sheetViews>
  <sheetFormatPr defaultRowHeight="15" x14ac:dyDescent="0.25"/>
  <cols>
    <col min="2" max="2" width="5.85546875" customWidth="1"/>
    <col min="3" max="3" width="1" customWidth="1"/>
    <col min="4" max="4" width="2.140625" customWidth="1"/>
    <col min="5" max="5" width="1.5703125" customWidth="1"/>
    <col min="6" max="6" width="9.7109375" customWidth="1"/>
    <col min="7" max="7" width="7.85546875" customWidth="1"/>
    <col min="8" max="8" width="3.7109375" customWidth="1"/>
    <col min="9" max="9" width="5" customWidth="1"/>
    <col min="10" max="10" width="11.5703125" customWidth="1"/>
    <col min="11" max="11" width="12.5703125" customWidth="1"/>
    <col min="12" max="12" width="20.7109375" customWidth="1"/>
  </cols>
  <sheetData>
    <row r="4" spans="2:14" ht="30" x14ac:dyDescent="0.25">
      <c r="B4" s="141" t="s">
        <v>441</v>
      </c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</row>
    <row r="5" spans="2:14" ht="26.25" x14ac:dyDescent="0.25"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</row>
    <row r="6" spans="2:14" ht="26.25" x14ac:dyDescent="0.25"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</row>
    <row r="7" spans="2:14" ht="26.25" x14ac:dyDescent="0.25"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</row>
    <row r="8" spans="2:14" ht="15.75" x14ac:dyDescent="0.25">
      <c r="B8" s="143" t="str">
        <f>'cover Letter print'!B2</f>
        <v>Date:</v>
      </c>
      <c r="C8" s="143"/>
      <c r="D8" s="143"/>
      <c r="E8" s="143"/>
      <c r="F8" s="143"/>
      <c r="G8" s="146">
        <v>46167</v>
      </c>
      <c r="H8" s="146"/>
      <c r="I8" s="146"/>
      <c r="J8" s="146"/>
      <c r="K8" s="106"/>
      <c r="L8" s="106"/>
      <c r="M8" s="107"/>
      <c r="N8" s="107"/>
    </row>
    <row r="9" spans="2:14" ht="14.45" customHeight="1" x14ac:dyDescent="0.25">
      <c r="B9" s="143" t="s">
        <v>445</v>
      </c>
      <c r="C9" s="143"/>
      <c r="D9" s="143"/>
      <c r="E9" s="143"/>
      <c r="F9" s="143"/>
      <c r="G9" s="142" t="str">
        <f>'cover Letter print'!H12</f>
        <v>Al Hashar Pharmacy Llc</v>
      </c>
      <c r="H9" s="142"/>
      <c r="I9" s="142"/>
      <c r="J9" s="142"/>
      <c r="K9" s="108"/>
      <c r="L9" s="108"/>
      <c r="M9" s="107"/>
      <c r="N9" s="107"/>
    </row>
    <row r="10" spans="2:14" ht="14.45" customHeight="1" x14ac:dyDescent="0.25">
      <c r="B10" s="143" t="s">
        <v>446</v>
      </c>
      <c r="C10" s="143"/>
      <c r="D10" s="143"/>
      <c r="E10" s="143"/>
      <c r="F10" s="143"/>
      <c r="G10" s="142" t="str">
        <f>'cover Letter print'!Q2</f>
        <v>OLCT260054</v>
      </c>
      <c r="H10" s="142"/>
      <c r="I10" s="142"/>
      <c r="J10" s="142"/>
      <c r="K10" s="108"/>
      <c r="L10" s="108"/>
      <c r="M10" s="107"/>
      <c r="N10" s="107"/>
    </row>
    <row r="11" spans="2:14" ht="14.45" customHeight="1" x14ac:dyDescent="0.25">
      <c r="B11" s="143" t="s">
        <v>447</v>
      </c>
      <c r="C11" s="143"/>
      <c r="D11" s="143"/>
      <c r="E11" s="143"/>
      <c r="F11" s="143"/>
      <c r="G11" s="142">
        <f>'LC Tracker'!P19</f>
        <v>91220291</v>
      </c>
      <c r="H11" s="142"/>
      <c r="I11" s="142"/>
      <c r="J11" s="142"/>
      <c r="K11" s="109"/>
      <c r="L11" s="109"/>
      <c r="M11" s="107"/>
      <c r="N11" s="107"/>
    </row>
    <row r="12" spans="2:14" ht="15.75" x14ac:dyDescent="0.25">
      <c r="B12" s="143" t="s">
        <v>448</v>
      </c>
      <c r="C12" s="143"/>
      <c r="D12" s="143"/>
      <c r="E12" s="143"/>
      <c r="F12" s="143"/>
      <c r="G12" s="142">
        <v>30049090</v>
      </c>
      <c r="H12" s="142"/>
      <c r="I12" s="142"/>
      <c r="J12" s="142"/>
      <c r="K12" s="107"/>
      <c r="L12" s="107"/>
      <c r="M12" s="107"/>
      <c r="N12" s="107"/>
    </row>
    <row r="13" spans="2:14" ht="15.75" x14ac:dyDescent="0.25">
      <c r="B13" s="143" t="s">
        <v>449</v>
      </c>
      <c r="C13" s="143"/>
      <c r="D13" s="143"/>
      <c r="E13" s="143"/>
      <c r="F13" s="143"/>
      <c r="G13" s="144" t="s">
        <v>450</v>
      </c>
      <c r="H13" s="142"/>
      <c r="I13" s="142"/>
      <c r="J13" s="142"/>
      <c r="K13" s="107"/>
      <c r="L13" s="107"/>
      <c r="M13" s="107"/>
      <c r="N13" s="107"/>
    </row>
    <row r="14" spans="2:14" ht="15.75" x14ac:dyDescent="0.25">
      <c r="B14" s="110"/>
      <c r="C14" s="107"/>
      <c r="D14" s="107"/>
      <c r="E14" s="107"/>
      <c r="F14" s="107"/>
      <c r="G14" s="107"/>
      <c r="H14" s="107"/>
      <c r="I14" s="107"/>
      <c r="J14" s="107"/>
      <c r="K14" s="107"/>
      <c r="L14" s="107"/>
      <c r="M14" s="107"/>
      <c r="N14" s="107"/>
    </row>
    <row r="15" spans="2:14" ht="15.75" x14ac:dyDescent="0.25">
      <c r="B15" s="110"/>
      <c r="C15" s="107"/>
      <c r="D15" s="107"/>
      <c r="E15" s="107"/>
      <c r="F15" s="107"/>
      <c r="G15" s="107"/>
      <c r="H15" s="107"/>
      <c r="I15" s="107"/>
      <c r="J15" s="107"/>
      <c r="K15" s="107"/>
      <c r="L15" s="107"/>
      <c r="M15" s="107"/>
      <c r="N15" s="107"/>
    </row>
    <row r="16" spans="2:14" ht="14.45" customHeight="1" x14ac:dyDescent="0.25">
      <c r="B16" s="147" t="s">
        <v>444</v>
      </c>
      <c r="C16" s="147"/>
      <c r="D16" s="147"/>
      <c r="E16" s="147"/>
      <c r="F16" s="147"/>
      <c r="G16" s="147"/>
      <c r="H16" s="147"/>
      <c r="I16" s="147"/>
      <c r="J16" s="147"/>
      <c r="K16" s="147"/>
      <c r="L16" s="147"/>
      <c r="M16" s="147"/>
      <c r="N16" s="147"/>
    </row>
    <row r="17" spans="2:14" ht="15.75" x14ac:dyDescent="0.25">
      <c r="B17" s="145"/>
      <c r="C17" s="145"/>
      <c r="D17" s="145"/>
      <c r="E17" s="145"/>
      <c r="F17" s="145"/>
      <c r="G17" s="145"/>
      <c r="H17" s="145"/>
      <c r="I17" s="145"/>
      <c r="J17" s="145"/>
      <c r="K17" s="145"/>
      <c r="L17" s="107"/>
      <c r="M17" s="107"/>
      <c r="N17" s="107"/>
    </row>
    <row r="18" spans="2:14" ht="14.45" customHeight="1" x14ac:dyDescent="0.25">
      <c r="B18" s="143" t="s">
        <v>414</v>
      </c>
      <c r="C18" s="143"/>
      <c r="D18" s="143"/>
      <c r="E18" s="143"/>
      <c r="F18" s="143"/>
      <c r="G18" s="143"/>
      <c r="H18" s="143"/>
      <c r="I18" s="143"/>
      <c r="J18" s="143"/>
      <c r="K18" s="143"/>
      <c r="L18" s="143"/>
      <c r="M18" s="143"/>
      <c r="N18" s="143"/>
    </row>
  </sheetData>
  <mergeCells count="17">
    <mergeCell ref="B18:N18"/>
    <mergeCell ref="G8:J8"/>
    <mergeCell ref="G9:J9"/>
    <mergeCell ref="G11:J11"/>
    <mergeCell ref="G10:J10"/>
    <mergeCell ref="B8:F8"/>
    <mergeCell ref="B9:F9"/>
    <mergeCell ref="B10:F10"/>
    <mergeCell ref="B11:F11"/>
    <mergeCell ref="B16:N16"/>
    <mergeCell ref="B4:N4"/>
    <mergeCell ref="G12:J12"/>
    <mergeCell ref="B13:F13"/>
    <mergeCell ref="G13:J13"/>
    <mergeCell ref="B17:F17"/>
    <mergeCell ref="G17:K17"/>
    <mergeCell ref="B12:F12"/>
  </mergeCells>
  <pageMargins left="0.7" right="0.7" top="0.75" bottom="0.75" header="0.3" footer="0.3"/>
  <pageSetup scale="7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375623"/>
  </sheetPr>
  <dimension ref="A1:K25"/>
  <sheetViews>
    <sheetView topLeftCell="A3" zoomScale="130" zoomScaleNormal="130" workbookViewId="0">
      <selection activeCell="B23" sqref="B23:E23"/>
    </sheetView>
  </sheetViews>
  <sheetFormatPr defaultColWidth="8.7109375" defaultRowHeight="15" x14ac:dyDescent="0.25"/>
  <cols>
    <col min="1" max="1" width="4.5703125" bestFit="1" customWidth="1"/>
    <col min="2" max="2" width="27.140625" bestFit="1" customWidth="1"/>
    <col min="3" max="3" width="7.5703125" bestFit="1" customWidth="1"/>
    <col min="4" max="4" width="13.42578125" bestFit="1" customWidth="1"/>
    <col min="5" max="5" width="14.85546875" bestFit="1" customWidth="1"/>
    <col min="6" max="6" width="10.7109375" bestFit="1" customWidth="1"/>
    <col min="8" max="10" width="14.7109375" bestFit="1" customWidth="1"/>
    <col min="11" max="11" width="7.7109375" bestFit="1" customWidth="1"/>
  </cols>
  <sheetData>
    <row r="1" spans="1:11" ht="18" x14ac:dyDescent="0.25">
      <c r="A1" s="140" t="s">
        <v>117</v>
      </c>
      <c r="B1" s="140"/>
      <c r="C1" s="140"/>
      <c r="D1" s="140"/>
      <c r="E1" s="140"/>
      <c r="F1" s="140"/>
    </row>
    <row r="2" spans="1:11" ht="15.75" thickBot="1" x14ac:dyDescent="0.3"/>
    <row r="3" spans="1:11" ht="15.75" thickBot="1" x14ac:dyDescent="0.3">
      <c r="A3" s="148" t="s">
        <v>122</v>
      </c>
      <c r="B3" s="148"/>
      <c r="C3" s="148"/>
      <c r="D3" s="148"/>
      <c r="E3" s="148"/>
      <c r="F3" s="148"/>
      <c r="H3" s="13" t="s">
        <v>118</v>
      </c>
      <c r="I3" s="14" t="s">
        <v>119</v>
      </c>
      <c r="J3" s="15" t="s">
        <v>120</v>
      </c>
      <c r="K3" s="16" t="s">
        <v>121</v>
      </c>
    </row>
    <row r="4" spans="1:11" ht="16.5" thickBot="1" x14ac:dyDescent="0.3">
      <c r="A4" s="21" t="s">
        <v>108</v>
      </c>
      <c r="B4" s="21" t="s">
        <v>1</v>
      </c>
      <c r="C4" s="21" t="s">
        <v>2</v>
      </c>
      <c r="D4" s="21" t="s">
        <v>12</v>
      </c>
      <c r="E4" s="21" t="s">
        <v>123</v>
      </c>
      <c r="F4" s="21" t="s">
        <v>16</v>
      </c>
      <c r="H4" s="17">
        <f>SUM('LC Tracker'!O3:O16)</f>
        <v>8250739.1100000003</v>
      </c>
      <c r="I4" s="18">
        <f>SUM('Invoice Detail'!D3:D24)</f>
        <v>4550592.8699999992</v>
      </c>
      <c r="J4" s="19">
        <f>SUM('LC Tracker'!CW3:CW12)</f>
        <v>1476508.1500000001</v>
      </c>
      <c r="K4" s="20">
        <f>COUNT('LC Tracker'!A3:A16)</f>
        <v>14</v>
      </c>
    </row>
    <row r="5" spans="1:11" x14ac:dyDescent="0.25">
      <c r="A5" s="10">
        <v>1</v>
      </c>
      <c r="B5" s="10" t="str">
        <f>'LC Tracker'!B3</f>
        <v>Al Hashar Pharmacy Llc</v>
      </c>
      <c r="C5" s="23" t="str">
        <f>'LC Tracker'!C3</f>
        <v xml:space="preserve">Oman </v>
      </c>
      <c r="D5" s="6">
        <f>'LC Tracker'!O3</f>
        <v>93458.11</v>
      </c>
      <c r="E5" s="22">
        <f>'LC Tracker'!O3+-'LC Tracker'!Q3-'LC Tracker'!X3-'LC Tracker'!AE3-'LC Tracker'!AL3-'LC Tracker'!AS3-'LC Tracker'!AZ3-'LC Tracker'!BG3-'LC Tracker'!BN3-'LC Tracker'!BU3-'LC Tracker'!CB3-'LC Tracker'!CI3-'LC Tracker'!CP3</f>
        <v>0</v>
      </c>
      <c r="F5" s="3" t="str">
        <f t="shared" ref="F5:F14" si="0">IF(E5&lt;=0,"Fully Drawn","Open")</f>
        <v>Fully Drawn</v>
      </c>
    </row>
    <row r="6" spans="1:11" x14ac:dyDescent="0.25">
      <c r="A6" s="10">
        <v>2</v>
      </c>
      <c r="B6" s="10" t="str">
        <f>'LC Tracker'!B4</f>
        <v>Al Hashar Pharmacy Llc</v>
      </c>
      <c r="C6" s="23" t="str">
        <f>'LC Tracker'!C4</f>
        <v xml:space="preserve">Oman </v>
      </c>
      <c r="D6" s="6">
        <f>'LC Tracker'!O4</f>
        <v>237831.61</v>
      </c>
      <c r="E6" s="22">
        <f>'LC Tracker'!O4+-'LC Tracker'!Q4-'LC Tracker'!X4-'LC Tracker'!AE4-'LC Tracker'!AL4-'LC Tracker'!AS4-'LC Tracker'!AZ4-'LC Tracker'!BG4-'LC Tracker'!BN4-'LC Tracker'!BU4-'LC Tracker'!CB4-'LC Tracker'!CI4-'LC Tracker'!CP4</f>
        <v>5217.9400000000023</v>
      </c>
      <c r="F6" s="3" t="str">
        <f t="shared" si="0"/>
        <v>Open</v>
      </c>
    </row>
    <row r="7" spans="1:11" x14ac:dyDescent="0.25">
      <c r="A7" s="10">
        <v>3</v>
      </c>
      <c r="B7" s="10" t="str">
        <f>'LC Tracker'!B5</f>
        <v>Al Hashar Pharmacy Llc</v>
      </c>
      <c r="C7" s="23" t="str">
        <f>'LC Tracker'!C5</f>
        <v xml:space="preserve">Oman </v>
      </c>
      <c r="D7" s="6">
        <f>'LC Tracker'!O5</f>
        <v>414745.85</v>
      </c>
      <c r="E7" s="22">
        <f>'LC Tracker'!O5+-'LC Tracker'!Q5-'LC Tracker'!X5-'LC Tracker'!AE5-'LC Tracker'!AL5-'LC Tracker'!AS5-'LC Tracker'!AZ5-'LC Tracker'!BG5-'LC Tracker'!BN5-'LC Tracker'!BU5-'LC Tracker'!CB5-'LC Tracker'!CI5-'LC Tracker'!CP5</f>
        <v>0</v>
      </c>
      <c r="F7" s="3" t="str">
        <f t="shared" si="0"/>
        <v>Fully Drawn</v>
      </c>
    </row>
    <row r="8" spans="1:11" x14ac:dyDescent="0.25">
      <c r="A8" s="10">
        <v>4</v>
      </c>
      <c r="B8" s="10" t="str">
        <f>'LC Tracker'!B6</f>
        <v>Al Hashar Pharmacy Llc</v>
      </c>
      <c r="C8" s="23" t="str">
        <f>'LC Tracker'!C6</f>
        <v xml:space="preserve">Oman </v>
      </c>
      <c r="D8" s="6">
        <f>'LC Tracker'!O6</f>
        <v>172096.92</v>
      </c>
      <c r="E8" s="22">
        <f>'LC Tracker'!O6+-'LC Tracker'!Q6-'LC Tracker'!X6-'LC Tracker'!AE6-'LC Tracker'!AL6-'LC Tracker'!AS6-'LC Tracker'!AZ6-'LC Tracker'!BG6-'LC Tracker'!BN6-'LC Tracker'!BU6-'LC Tracker'!CB6-'LC Tracker'!CI6-'LC Tracker'!CP6</f>
        <v>0</v>
      </c>
      <c r="F8" s="3" t="str">
        <f t="shared" si="0"/>
        <v>Fully Drawn</v>
      </c>
    </row>
    <row r="9" spans="1:11" x14ac:dyDescent="0.25">
      <c r="A9" s="10">
        <v>5</v>
      </c>
      <c r="B9" s="10" t="str">
        <f>'LC Tracker'!B7</f>
        <v>Al Hikma Fzco Iraq</v>
      </c>
      <c r="C9" s="23" t="str">
        <f>'LC Tracker'!C7</f>
        <v xml:space="preserve">Iraq </v>
      </c>
      <c r="D9" s="6">
        <f>'LC Tracker'!O7</f>
        <v>750804.98</v>
      </c>
      <c r="E9" s="22">
        <f>'LC Tracker'!O7+-'LC Tracker'!Q7-'LC Tracker'!X7-'LC Tracker'!AE7-'LC Tracker'!AL7-'LC Tracker'!AS7-'LC Tracker'!AZ7-'LC Tracker'!BG7-'LC Tracker'!BN7-'LC Tracker'!BU7-'LC Tracker'!CB7-'LC Tracker'!CI7-'LC Tracker'!CP7</f>
        <v>2.6799999999784632</v>
      </c>
      <c r="F9" s="3" t="str">
        <f t="shared" si="0"/>
        <v>Open</v>
      </c>
      <c r="I9" s="31"/>
    </row>
    <row r="10" spans="1:11" x14ac:dyDescent="0.25">
      <c r="A10" s="10">
        <v>6</v>
      </c>
      <c r="B10" s="10" t="str">
        <f>'LC Tracker'!B8</f>
        <v>Samt For Medical Supplies</v>
      </c>
      <c r="C10" s="23" t="str">
        <f>'LC Tracker'!C8</f>
        <v xml:space="preserve">Libya </v>
      </c>
      <c r="D10" s="6">
        <f>'LC Tracker'!O8</f>
        <v>200806.15</v>
      </c>
      <c r="E10" s="22">
        <f>'LC Tracker'!O8+-'LC Tracker'!Q8-'LC Tracker'!X8-'LC Tracker'!AE8-'LC Tracker'!AL8-'LC Tracker'!AS8-'LC Tracker'!AZ8-'LC Tracker'!BG8-'LC Tracker'!BN8-'LC Tracker'!BU8-'LC Tracker'!CB8-'LC Tracker'!CI8-'LC Tracker'!CP8</f>
        <v>0</v>
      </c>
      <c r="F10" s="3" t="str">
        <f t="shared" si="0"/>
        <v>Fully Drawn</v>
      </c>
    </row>
    <row r="11" spans="1:11" x14ac:dyDescent="0.25">
      <c r="A11" s="10">
        <v>7</v>
      </c>
      <c r="B11" s="10" t="str">
        <f>'LC Tracker'!B9</f>
        <v>Al Hikma Fzco Iraq</v>
      </c>
      <c r="C11" s="23" t="str">
        <f>'LC Tracker'!C9</f>
        <v xml:space="preserve">Iraq </v>
      </c>
      <c r="D11" s="6">
        <f>'LC Tracker'!O9</f>
        <v>747352.2</v>
      </c>
      <c r="E11" s="22">
        <f>'LC Tracker'!O9+-'LC Tracker'!Q9-'LC Tracker'!X9-'LC Tracker'!AE9-'LC Tracker'!AL9-'LC Tracker'!AS9-'LC Tracker'!AZ9-'LC Tracker'!BG9-'LC Tracker'!BN9-'LC Tracker'!BU9-'LC Tracker'!CB9-'LC Tracker'!CI9-'LC Tracker'!CP9</f>
        <v>46856.919999999947</v>
      </c>
      <c r="F11" s="3" t="str">
        <f t="shared" si="0"/>
        <v>Open</v>
      </c>
    </row>
    <row r="12" spans="1:11" x14ac:dyDescent="0.25">
      <c r="A12" s="10">
        <v>8</v>
      </c>
      <c r="B12" s="10" t="e">
        <f>'LC Tracker'!#REF!</f>
        <v>#REF!</v>
      </c>
      <c r="C12" s="23" t="e">
        <f>'LC Tracker'!#REF!</f>
        <v>#REF!</v>
      </c>
      <c r="D12" s="6" t="e">
        <f>'LC Tracker'!#REF!</f>
        <v>#REF!</v>
      </c>
      <c r="E12" s="22" t="e">
        <f>'LC Tracker'!#REF!+-'LC Tracker'!#REF!-'LC Tracker'!#REF!-'LC Tracker'!#REF!-'LC Tracker'!#REF!-'LC Tracker'!#REF!-'LC Tracker'!#REF!-'LC Tracker'!#REF!-'LC Tracker'!#REF!-'LC Tracker'!#REF!-'LC Tracker'!#REF!-'LC Tracker'!#REF!-'LC Tracker'!#REF!</f>
        <v>#REF!</v>
      </c>
      <c r="F12" s="3" t="e">
        <f t="shared" si="0"/>
        <v>#REF!</v>
      </c>
    </row>
    <row r="13" spans="1:11" x14ac:dyDescent="0.25">
      <c r="A13" s="10">
        <v>9</v>
      </c>
      <c r="B13" s="10" t="str">
        <f>'LC Tracker'!B10</f>
        <v>Zenith Pharma</v>
      </c>
      <c r="C13" s="23" t="str">
        <f>'LC Tracker'!C10</f>
        <v xml:space="preserve">Morocco </v>
      </c>
      <c r="D13" s="6">
        <f>'LC Tracker'!O10</f>
        <v>2881945.35</v>
      </c>
      <c r="E13" s="22">
        <f>'LC Tracker'!O10+-'LC Tracker'!Q10-'LC Tracker'!X10-'LC Tracker'!AE10-'LC Tracker'!AL10-'LC Tracker'!AS10-'LC Tracker'!AZ10-'LC Tracker'!BG10-'LC Tracker'!BN10-'LC Tracker'!BU10-'LC Tracker'!CB10-'LC Tracker'!CI10-'LC Tracker'!CP10</f>
        <v>1418481.5</v>
      </c>
      <c r="F13" s="3" t="str">
        <f t="shared" si="0"/>
        <v>Open</v>
      </c>
    </row>
    <row r="14" spans="1:11" x14ac:dyDescent="0.25">
      <c r="A14" s="10">
        <v>10</v>
      </c>
      <c r="B14" s="10" t="str">
        <f>'LC Tracker'!B11</f>
        <v>Lanamed Pharmaceuticals Import</v>
      </c>
      <c r="C14" s="23" t="str">
        <f>'LC Tracker'!C11</f>
        <v>Ethiopia</v>
      </c>
      <c r="D14" s="6">
        <f>'LC Tracker'!O11</f>
        <v>52678.12</v>
      </c>
      <c r="E14" s="22">
        <f>'LC Tracker'!O11+-'LC Tracker'!Q11-'LC Tracker'!X11-'LC Tracker'!AE11-'LC Tracker'!AL11-'LC Tracker'!AS11-'LC Tracker'!AZ11-'LC Tracker'!BG11-'LC Tracker'!BN11-'LC Tracker'!BU11-'LC Tracker'!CB11-'LC Tracker'!CI11-'LC Tracker'!CP11</f>
        <v>5949.1200000000026</v>
      </c>
      <c r="F14" s="3" t="str">
        <f t="shared" si="0"/>
        <v>Open</v>
      </c>
    </row>
    <row r="15" spans="1:11" x14ac:dyDescent="0.25">
      <c r="A15" s="10">
        <v>11</v>
      </c>
      <c r="B15" s="10" t="s">
        <v>99</v>
      </c>
      <c r="C15" s="10" t="s">
        <v>90</v>
      </c>
      <c r="D15" s="6">
        <f>'LC Tracker'!O12</f>
        <v>475381.73</v>
      </c>
      <c r="E15" s="22">
        <f>'LC Tracker'!O12+-'LC Tracker'!Q12-'LC Tracker'!X12-'LC Tracker'!AE12-'LC Tracker'!AL12-'LC Tracker'!AS12-'LC Tracker'!AZ12-'LC Tracker'!BG12-'LC Tracker'!BN12-'LC Tracker'!BU12-'LC Tracker'!CB12-'LC Tracker'!CI12-'LC Tracker'!CP12</f>
        <v>-1.0000000038417056E-2</v>
      </c>
      <c r="F15" s="3" t="str">
        <f>IF(E15&lt;=0,"Fully Drawn","Open")</f>
        <v>Fully Drawn</v>
      </c>
    </row>
    <row r="16" spans="1:11" x14ac:dyDescent="0.25">
      <c r="A16" s="10">
        <v>12</v>
      </c>
      <c r="B16" s="10" t="str">
        <f>'LC Tracker'!B13</f>
        <v>Al Hashar Pharmacy Llc</v>
      </c>
      <c r="C16" s="23" t="str">
        <f>'LC Tracker'!C13</f>
        <v xml:space="preserve">Oman </v>
      </c>
      <c r="D16" s="6">
        <f>'LC Tracker'!O13</f>
        <v>335479.61</v>
      </c>
      <c r="E16" s="22">
        <f>'LC Tracker'!O13+-'LC Tracker'!Q13-'LC Tracker'!X13-'LC Tracker'!AE13-'LC Tracker'!AL13-'LC Tracker'!AS13-'LC Tracker'!AZ13-'LC Tracker'!BG13-'LC Tracker'!BN13-'LC Tracker'!BU13-'LC Tracker'!CB13-'LC Tracker'!CI13-'LC Tracker'!CP13</f>
        <v>335479.61</v>
      </c>
      <c r="F16" s="3" t="str">
        <f t="shared" ref="F16:F19" si="1">IF(E16&lt;=0,"Fully Drawn","Open")</f>
        <v>Open</v>
      </c>
    </row>
    <row r="17" spans="1:6" x14ac:dyDescent="0.25">
      <c r="A17" s="10">
        <v>13</v>
      </c>
      <c r="B17" s="10" t="str">
        <f>'LC Tracker'!B14</f>
        <v>Al Hashar Pharmacy Llc</v>
      </c>
      <c r="C17" s="23" t="str">
        <f>'LC Tracker'!C14</f>
        <v xml:space="preserve">Oman </v>
      </c>
      <c r="D17" s="6">
        <f>'LC Tracker'!O14</f>
        <v>341988.22</v>
      </c>
      <c r="E17" s="22">
        <f>'LC Tracker'!O14+-'LC Tracker'!Q14-'LC Tracker'!X14-'LC Tracker'!AE14-'LC Tracker'!AL14-'LC Tracker'!AS14-'LC Tracker'!AZ14-'LC Tracker'!BG14-'LC Tracker'!BN14-'LC Tracker'!BU14-'LC Tracker'!CB14-'LC Tracker'!CI14-'LC Tracker'!CP14</f>
        <v>341988.22</v>
      </c>
      <c r="F17" s="3" t="str">
        <f t="shared" si="1"/>
        <v>Open</v>
      </c>
    </row>
    <row r="18" spans="1:6" x14ac:dyDescent="0.25">
      <c r="A18" s="10">
        <v>14</v>
      </c>
      <c r="B18" s="10" t="str">
        <f>'LC Tracker'!B15</f>
        <v>Al Hashar Pharmacy Llc</v>
      </c>
      <c r="C18" s="23" t="str">
        <f>'LC Tracker'!C15</f>
        <v xml:space="preserve">Oman </v>
      </c>
      <c r="D18" s="6">
        <f>'LC Tracker'!O15</f>
        <v>775682.65</v>
      </c>
      <c r="E18" s="22">
        <f>'LC Tracker'!O15+-'LC Tracker'!Q15-'LC Tracker'!X15-'LC Tracker'!AE15-'LC Tracker'!AL15-'LC Tracker'!AS15-'LC Tracker'!AZ15-'LC Tracker'!BG15-'LC Tracker'!BN15-'LC Tracker'!BU15-'LC Tracker'!CB15-'LC Tracker'!CI15-'LC Tracker'!CP15</f>
        <v>775682.65</v>
      </c>
      <c r="F18" s="3" t="str">
        <f t="shared" si="1"/>
        <v>Open</v>
      </c>
    </row>
    <row r="19" spans="1:6" x14ac:dyDescent="0.25">
      <c r="A19" s="10">
        <v>15</v>
      </c>
      <c r="B19" s="10" t="str">
        <f>'LC Tracker'!B16</f>
        <v>Al Hikma Fzco Iraq</v>
      </c>
      <c r="C19" s="23" t="str">
        <f>'LC Tracker'!C16</f>
        <v xml:space="preserve">Iraq </v>
      </c>
      <c r="D19" s="6">
        <f>'LC Tracker'!O16</f>
        <v>770487.61</v>
      </c>
      <c r="E19" s="22">
        <f>'LC Tracker'!O16+-'LC Tracker'!Q16-'LC Tracker'!X16-'LC Tracker'!AE16-'LC Tracker'!AL16-'LC Tracker'!AS16-'LC Tracker'!AZ16-'LC Tracker'!BG16-'LC Tracker'!BN16-'LC Tracker'!BU16-'LC Tracker'!CB16-'LC Tracker'!CI16-'LC Tracker'!CP16</f>
        <v>87.260000000038417</v>
      </c>
      <c r="F19" s="3" t="str">
        <f t="shared" si="1"/>
        <v>Open</v>
      </c>
    </row>
    <row r="20" spans="1:6" x14ac:dyDescent="0.25">
      <c r="A20" s="10">
        <v>16</v>
      </c>
      <c r="B20" s="10" t="str">
        <f>'LC Tracker'!B17</f>
        <v>Al Hashar Pharmacy Llc</v>
      </c>
      <c r="C20" s="23" t="str">
        <f>'LC Tracker'!C17</f>
        <v xml:space="preserve">Oman </v>
      </c>
      <c r="D20" s="6">
        <f>'LC Tracker'!O17</f>
        <v>475824.47</v>
      </c>
      <c r="E20" s="22">
        <f>'LC Tracker'!O17+-'LC Tracker'!Q17-'LC Tracker'!X17-'LC Tracker'!AE17-'LC Tracker'!AL17-'LC Tracker'!AS17-'LC Tracker'!AZ17-'LC Tracker'!BG17-'LC Tracker'!BN17-'LC Tracker'!BU17-'LC Tracker'!CB17-'LC Tracker'!CI17-'LC Tracker'!CP17</f>
        <v>40746.25999999998</v>
      </c>
      <c r="F20" s="3" t="str">
        <f t="shared" ref="F20:F22" si="2">IF(E20&lt;=0,"Fully Drawn","Open")</f>
        <v>Open</v>
      </c>
    </row>
    <row r="21" spans="1:6" x14ac:dyDescent="0.25">
      <c r="A21" s="10">
        <v>17</v>
      </c>
      <c r="B21" s="10" t="str">
        <f>'LC Tracker'!B18</f>
        <v>Unicare Medical</v>
      </c>
      <c r="C21" s="23" t="str">
        <f>'LC Tracker'!C18</f>
        <v xml:space="preserve">UAE </v>
      </c>
      <c r="D21" s="6">
        <f>'LC Tracker'!O18</f>
        <v>90596</v>
      </c>
      <c r="E21" s="22">
        <f>'LC Tracker'!O18+-'LC Tracker'!Q18-'LC Tracker'!X18-'LC Tracker'!AE18-'LC Tracker'!AL18-'LC Tracker'!AS18-'LC Tracker'!AZ18-'LC Tracker'!BG18-'LC Tracker'!BN18-'LC Tracker'!BU18-'LC Tracker'!CB18-'LC Tracker'!CI18-'LC Tracker'!CP18</f>
        <v>90596</v>
      </c>
      <c r="F21" s="3" t="str">
        <f t="shared" si="2"/>
        <v>Open</v>
      </c>
    </row>
    <row r="22" spans="1:6" x14ac:dyDescent="0.25">
      <c r="A22" s="10">
        <v>18</v>
      </c>
      <c r="B22" s="10" t="str">
        <f>'LC Tracker'!B19</f>
        <v>Tracon Trading Plc</v>
      </c>
      <c r="C22" s="23" t="str">
        <f>'LC Tracker'!C19</f>
        <v>Ethiopia</v>
      </c>
      <c r="D22" s="6">
        <f>'LC Tracker'!O19</f>
        <v>563636.54</v>
      </c>
      <c r="E22" s="22">
        <f>'LC Tracker'!O19+-'LC Tracker'!Q19-'LC Tracker'!X19-'LC Tracker'!AE19-'LC Tracker'!AL19-'LC Tracker'!AS19-'LC Tracker'!AZ19-'LC Tracker'!BG19-'LC Tracker'!BN19-'LC Tracker'!BU19-'LC Tracker'!CB19-'LC Tracker'!CI19-'LC Tracker'!CP19</f>
        <v>123035.97000000003</v>
      </c>
      <c r="F22" s="3" t="str">
        <f t="shared" si="2"/>
        <v>Open</v>
      </c>
    </row>
    <row r="23" spans="1:6" x14ac:dyDescent="0.25">
      <c r="A23" s="10">
        <v>19</v>
      </c>
      <c r="B23" s="10" t="str">
        <f>'LC Tracker'!B20</f>
        <v>El Hakeem For Importing Pharmaceutical</v>
      </c>
      <c r="C23" s="23" t="str">
        <f>'LC Tracker'!C20</f>
        <v>Libya</v>
      </c>
      <c r="D23" s="6">
        <f>'LC Tracker'!O20</f>
        <v>148875.1</v>
      </c>
      <c r="E23" s="22">
        <f>'LC Tracker'!O20+-'LC Tracker'!Q20-'LC Tracker'!X20-'LC Tracker'!AE20-'LC Tracker'!AL20-'LC Tracker'!AS20-'LC Tracker'!AZ20-'LC Tracker'!BG20-'LC Tracker'!BN20-'LC Tracker'!BU20-'LC Tracker'!CB20-'LC Tracker'!CI20-'LC Tracker'!CP20</f>
        <v>148875.1</v>
      </c>
      <c r="F23" s="3" t="str">
        <f t="shared" ref="F23:F24" si="3">IF(E23&lt;=0,"Fully Drawn","Open")</f>
        <v>Open</v>
      </c>
    </row>
    <row r="24" spans="1:6" ht="15.75" thickBot="1" x14ac:dyDescent="0.3">
      <c r="A24" s="10">
        <v>20</v>
      </c>
      <c r="B24" s="10" t="str">
        <f>'LC Tracker'!B21</f>
        <v>Samt For Medical Supplies</v>
      </c>
      <c r="C24" s="23" t="str">
        <f>'LC Tracker'!C21</f>
        <v xml:space="preserve">Libya </v>
      </c>
      <c r="D24" s="6">
        <f>'LC Tracker'!O21</f>
        <v>753141</v>
      </c>
      <c r="E24" s="22">
        <f>'LC Tracker'!O21+-'LC Tracker'!Q21-'LC Tracker'!X21-'LC Tracker'!AE21-'LC Tracker'!AL21-'LC Tracker'!AS21-'LC Tracker'!AZ21-'LC Tracker'!BG21-'LC Tracker'!BN21-'LC Tracker'!BU21-'LC Tracker'!CB21-'LC Tracker'!CI21-'LC Tracker'!CP21</f>
        <v>753141</v>
      </c>
      <c r="F24" s="3" t="str">
        <f t="shared" si="3"/>
        <v>Open</v>
      </c>
    </row>
    <row r="25" spans="1:6" ht="15.75" thickBot="1" x14ac:dyDescent="0.3">
      <c r="A25" s="149" t="s">
        <v>116</v>
      </c>
      <c r="B25" s="149"/>
      <c r="C25" s="149"/>
      <c r="D25" s="7" t="e">
        <f>SUM(D5:D19)</f>
        <v>#REF!</v>
      </c>
      <c r="E25" s="7" t="e">
        <f>SUBTOTAL(9,E5:E24)</f>
        <v>#REF!</v>
      </c>
      <c r="F25" s="8"/>
    </row>
  </sheetData>
  <mergeCells count="3">
    <mergeCell ref="A1:F1"/>
    <mergeCell ref="A3:F3"/>
    <mergeCell ref="A25:C25"/>
  </mergeCells>
  <conditionalFormatting sqref="E5:E24">
    <cfRule type="cellIs" dxfId="17" priority="2" operator="greaterThan">
      <formula>0</formula>
    </cfRule>
  </conditionalFormatting>
  <conditionalFormatting sqref="F5:F24">
    <cfRule type="cellIs" dxfId="16" priority="1" operator="equal">
      <formula>"Open"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2488A-A0A1-4056-921C-1968AA4A465B}">
  <sheetPr codeName="Sheet4"/>
  <dimension ref="C4:H11"/>
  <sheetViews>
    <sheetView workbookViewId="0">
      <selection activeCell="G30" sqref="G30"/>
    </sheetView>
  </sheetViews>
  <sheetFormatPr defaultColWidth="4.7109375" defaultRowHeight="15" x14ac:dyDescent="0.25"/>
  <cols>
    <col min="3" max="3" width="41.7109375" bestFit="1" customWidth="1"/>
    <col min="4" max="4" width="10.140625" bestFit="1" customWidth="1"/>
    <col min="7" max="7" width="41.7109375" bestFit="1" customWidth="1"/>
    <col min="8" max="8" width="10.85546875" bestFit="1" customWidth="1"/>
  </cols>
  <sheetData>
    <row r="4" spans="3:8" ht="15.75" thickBot="1" x14ac:dyDescent="0.3">
      <c r="C4" t="str">
        <f>'LC Tracker'!B16</f>
        <v>Al Hikma Fzco Iraq</v>
      </c>
      <c r="G4" t="str">
        <f>'LC Tracker'!F16</f>
        <v>TF2612500004JEDX</v>
      </c>
    </row>
    <row r="5" spans="3:8" ht="15.75" thickBot="1" x14ac:dyDescent="0.3">
      <c r="C5" s="67" t="str">
        <f>CONCATENATE("LC Value USD LC #",'LC Tracker'!I16)</f>
        <v>LC Value USD LC #OLCD001260151</v>
      </c>
      <c r="D5" s="75">
        <f>'LC Tracker'!O16</f>
        <v>770487.61</v>
      </c>
      <c r="G5" s="67" t="str">
        <f>CONCATENATE("LC Value USD LC #",'LC Tracker'!M16)</f>
        <v>LC Value USD LC #Deferred</v>
      </c>
      <c r="H5" s="75">
        <f t="shared" ref="H5:H11" si="0">D5</f>
        <v>770487.61</v>
      </c>
    </row>
    <row r="6" spans="3:8" ht="15.75" thickBot="1" x14ac:dyDescent="0.3">
      <c r="C6" s="67" t="s">
        <v>215</v>
      </c>
      <c r="D6" s="68">
        <f>'LC Tracker'!L16</f>
        <v>46214</v>
      </c>
      <c r="G6" s="67" t="s">
        <v>215</v>
      </c>
      <c r="H6" s="68">
        <f t="shared" si="0"/>
        <v>46214</v>
      </c>
    </row>
    <row r="7" spans="3:8" ht="15.75" thickBot="1" x14ac:dyDescent="0.3">
      <c r="C7" s="69" t="s">
        <v>220</v>
      </c>
      <c r="D7" s="68">
        <f>'LC Tracker'!K16</f>
        <v>46229</v>
      </c>
      <c r="G7" s="69" t="s">
        <v>220</v>
      </c>
      <c r="H7" s="68">
        <f t="shared" si="0"/>
        <v>46229</v>
      </c>
    </row>
    <row r="8" spans="3:8" ht="15.75" thickBot="1" x14ac:dyDescent="0.3">
      <c r="C8" s="70" t="s">
        <v>216</v>
      </c>
      <c r="D8" s="71">
        <f>D5</f>
        <v>770487.61</v>
      </c>
      <c r="G8" s="70" t="s">
        <v>216</v>
      </c>
      <c r="H8" s="71">
        <f t="shared" si="0"/>
        <v>770487.61</v>
      </c>
    </row>
    <row r="9" spans="3:8" ht="15.75" thickBot="1" x14ac:dyDescent="0.3">
      <c r="C9" s="73" t="s">
        <v>458</v>
      </c>
      <c r="D9" s="74">
        <v>213747.7</v>
      </c>
      <c r="G9" s="73" t="s">
        <v>229</v>
      </c>
      <c r="H9" s="74">
        <f t="shared" si="0"/>
        <v>213747.7</v>
      </c>
    </row>
    <row r="10" spans="3:8" ht="15.75" thickBot="1" x14ac:dyDescent="0.3">
      <c r="C10" s="73" t="s">
        <v>457</v>
      </c>
      <c r="D10" s="74">
        <v>556652.65</v>
      </c>
      <c r="G10" s="73" t="s">
        <v>456</v>
      </c>
      <c r="H10" s="74">
        <f t="shared" si="0"/>
        <v>556652.65</v>
      </c>
    </row>
    <row r="11" spans="3:8" ht="15.75" thickBot="1" x14ac:dyDescent="0.3">
      <c r="C11" s="70" t="s">
        <v>217</v>
      </c>
      <c r="D11" s="72">
        <f>D5-D9-D10</f>
        <v>87.259999999892898</v>
      </c>
      <c r="G11" s="70" t="s">
        <v>217</v>
      </c>
      <c r="H11" s="72">
        <f t="shared" si="0"/>
        <v>87.259999999892898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8AD09-9E29-49EB-8926-F5C5CF242C83}">
  <sheetPr codeName="Sheet5"/>
  <dimension ref="B2:E133"/>
  <sheetViews>
    <sheetView workbookViewId="0">
      <selection activeCell="K18" sqref="K18"/>
    </sheetView>
  </sheetViews>
  <sheetFormatPr defaultRowHeight="15" x14ac:dyDescent="0.25"/>
  <cols>
    <col min="2" max="2" width="4" bestFit="1" customWidth="1"/>
    <col min="3" max="3" width="14.5703125" bestFit="1" customWidth="1"/>
    <col min="4" max="4" width="42.42578125" bestFit="1" customWidth="1"/>
    <col min="5" max="5" width="12.42578125" bestFit="1" customWidth="1"/>
  </cols>
  <sheetData>
    <row r="2" spans="2:5" x14ac:dyDescent="0.25">
      <c r="B2" s="89" t="s">
        <v>284</v>
      </c>
      <c r="C2" s="89" t="s">
        <v>283</v>
      </c>
      <c r="D2" s="89" t="s">
        <v>282</v>
      </c>
      <c r="E2" s="89" t="s">
        <v>2</v>
      </c>
    </row>
    <row r="3" spans="2:5" x14ac:dyDescent="0.25">
      <c r="B3" s="85">
        <v>1</v>
      </c>
      <c r="C3" s="87">
        <v>2000005</v>
      </c>
      <c r="D3" s="83" t="s">
        <v>238</v>
      </c>
      <c r="E3" s="83" t="s">
        <v>285</v>
      </c>
    </row>
    <row r="4" spans="2:5" x14ac:dyDescent="0.25">
      <c r="B4" s="86">
        <v>2</v>
      </c>
      <c r="C4" s="88">
        <v>2000584</v>
      </c>
      <c r="D4" s="84" t="s">
        <v>264</v>
      </c>
      <c r="E4" s="84" t="s">
        <v>286</v>
      </c>
    </row>
    <row r="5" spans="2:5" x14ac:dyDescent="0.25">
      <c r="B5" s="85">
        <v>3</v>
      </c>
      <c r="C5" s="87">
        <v>2000028</v>
      </c>
      <c r="D5" s="83" t="s">
        <v>310</v>
      </c>
      <c r="E5" s="83" t="s">
        <v>287</v>
      </c>
    </row>
    <row r="6" spans="2:5" x14ac:dyDescent="0.25">
      <c r="B6" s="86">
        <v>4</v>
      </c>
      <c r="C6" s="88">
        <v>2000000</v>
      </c>
      <c r="D6" s="84" t="s">
        <v>242</v>
      </c>
      <c r="E6" s="84" t="s">
        <v>288</v>
      </c>
    </row>
    <row r="7" spans="2:5" x14ac:dyDescent="0.25">
      <c r="B7" s="85">
        <v>5</v>
      </c>
      <c r="C7" s="87">
        <v>2000004</v>
      </c>
      <c r="D7" s="83" t="s">
        <v>245</v>
      </c>
      <c r="E7" s="83" t="s">
        <v>288</v>
      </c>
    </row>
    <row r="8" spans="2:5" x14ac:dyDescent="0.25">
      <c r="B8" s="86">
        <v>6</v>
      </c>
      <c r="C8" s="88">
        <v>3555557</v>
      </c>
      <c r="D8" s="84" t="s">
        <v>259</v>
      </c>
      <c r="E8" s="84" t="s">
        <v>289</v>
      </c>
    </row>
    <row r="9" spans="2:5" x14ac:dyDescent="0.25">
      <c r="B9" s="85">
        <v>7</v>
      </c>
      <c r="C9" s="87">
        <v>2002042</v>
      </c>
      <c r="D9" s="83" t="s">
        <v>311</v>
      </c>
      <c r="E9" s="83" t="s">
        <v>290</v>
      </c>
    </row>
    <row r="10" spans="2:5" x14ac:dyDescent="0.25">
      <c r="B10" s="86">
        <v>8</v>
      </c>
      <c r="C10" s="88">
        <v>2000009</v>
      </c>
      <c r="D10" s="84" t="s">
        <v>255</v>
      </c>
      <c r="E10" s="84" t="s">
        <v>291</v>
      </c>
    </row>
    <row r="11" spans="2:5" x14ac:dyDescent="0.25">
      <c r="B11" s="85">
        <v>9</v>
      </c>
      <c r="C11" s="87">
        <v>2000002</v>
      </c>
      <c r="D11" s="83" t="s">
        <v>248</v>
      </c>
      <c r="E11" s="83" t="s">
        <v>291</v>
      </c>
    </row>
    <row r="12" spans="2:5" x14ac:dyDescent="0.25">
      <c r="B12" s="86">
        <v>10</v>
      </c>
      <c r="C12" s="88">
        <v>2001246</v>
      </c>
      <c r="D12" s="84" t="s">
        <v>265</v>
      </c>
      <c r="E12" s="84" t="s">
        <v>292</v>
      </c>
    </row>
    <row r="13" spans="2:5" x14ac:dyDescent="0.25">
      <c r="B13" s="85">
        <v>11</v>
      </c>
      <c r="C13" s="87">
        <v>2001215</v>
      </c>
      <c r="D13" s="83" t="s">
        <v>249</v>
      </c>
      <c r="E13" s="83" t="s">
        <v>287</v>
      </c>
    </row>
    <row r="14" spans="2:5" x14ac:dyDescent="0.25">
      <c r="B14" s="86">
        <v>12</v>
      </c>
      <c r="C14" s="88">
        <v>2001307</v>
      </c>
      <c r="D14" s="84" t="s">
        <v>254</v>
      </c>
      <c r="E14" s="84" t="s">
        <v>291</v>
      </c>
    </row>
    <row r="15" spans="2:5" x14ac:dyDescent="0.25">
      <c r="B15" s="85">
        <v>13</v>
      </c>
      <c r="C15" s="87">
        <v>2001251</v>
      </c>
      <c r="D15" s="83" t="s">
        <v>312</v>
      </c>
      <c r="E15" s="83" t="s">
        <v>288</v>
      </c>
    </row>
    <row r="16" spans="2:5" x14ac:dyDescent="0.25">
      <c r="B16" s="86">
        <v>14</v>
      </c>
      <c r="C16" s="88">
        <v>2001241</v>
      </c>
      <c r="D16" s="84" t="s">
        <v>258</v>
      </c>
      <c r="E16" s="84" t="s">
        <v>285</v>
      </c>
    </row>
    <row r="17" spans="2:5" x14ac:dyDescent="0.25">
      <c r="B17" s="85">
        <v>15</v>
      </c>
      <c r="C17" s="87">
        <v>2001256</v>
      </c>
      <c r="D17" s="83" t="s">
        <v>313</v>
      </c>
      <c r="E17" s="83" t="s">
        <v>292</v>
      </c>
    </row>
    <row r="18" spans="2:5" x14ac:dyDescent="0.25">
      <c r="B18" s="86">
        <v>16</v>
      </c>
      <c r="C18" s="88">
        <v>3000119</v>
      </c>
      <c r="D18" s="84" t="s">
        <v>230</v>
      </c>
      <c r="E18" s="84" t="s">
        <v>286</v>
      </c>
    </row>
    <row r="19" spans="2:5" x14ac:dyDescent="0.25">
      <c r="B19" s="85">
        <v>17</v>
      </c>
      <c r="C19" s="87">
        <v>4555556</v>
      </c>
      <c r="D19" s="83" t="s">
        <v>314</v>
      </c>
      <c r="E19" s="83" t="s">
        <v>288</v>
      </c>
    </row>
    <row r="20" spans="2:5" x14ac:dyDescent="0.25">
      <c r="B20" s="86">
        <v>18</v>
      </c>
      <c r="C20" s="88">
        <v>2000006</v>
      </c>
      <c r="D20" s="84" t="s">
        <v>315</v>
      </c>
      <c r="E20" s="84" t="s">
        <v>287</v>
      </c>
    </row>
    <row r="21" spans="2:5" x14ac:dyDescent="0.25">
      <c r="B21" s="85">
        <v>19</v>
      </c>
      <c r="C21" s="87">
        <v>2000018</v>
      </c>
      <c r="D21" s="83" t="s">
        <v>316</v>
      </c>
      <c r="E21" s="83" t="s">
        <v>286</v>
      </c>
    </row>
    <row r="22" spans="2:5" x14ac:dyDescent="0.25">
      <c r="B22" s="86">
        <v>20</v>
      </c>
      <c r="C22" s="88">
        <v>2001284</v>
      </c>
      <c r="D22" s="84" t="s">
        <v>317</v>
      </c>
      <c r="E22" s="84" t="s">
        <v>293</v>
      </c>
    </row>
    <row r="23" spans="2:5" x14ac:dyDescent="0.25">
      <c r="B23" s="85">
        <v>21</v>
      </c>
      <c r="C23" s="87">
        <v>2001208</v>
      </c>
      <c r="D23" s="83" t="s">
        <v>318</v>
      </c>
      <c r="E23" s="83" t="s">
        <v>286</v>
      </c>
    </row>
    <row r="24" spans="2:5" x14ac:dyDescent="0.25">
      <c r="B24" s="86">
        <v>22</v>
      </c>
      <c r="C24" s="88">
        <v>4555558</v>
      </c>
      <c r="D24" s="84" t="s">
        <v>244</v>
      </c>
      <c r="E24" s="84" t="s">
        <v>288</v>
      </c>
    </row>
    <row r="25" spans="2:5" x14ac:dyDescent="0.25">
      <c r="B25" s="85">
        <v>23</v>
      </c>
      <c r="C25" s="87">
        <v>2000025</v>
      </c>
      <c r="D25" s="83" t="s">
        <v>319</v>
      </c>
      <c r="E25" s="83" t="s">
        <v>291</v>
      </c>
    </row>
    <row r="26" spans="2:5" x14ac:dyDescent="0.25">
      <c r="B26" s="86">
        <v>24</v>
      </c>
      <c r="C26" s="88">
        <v>2001225</v>
      </c>
      <c r="D26" s="84" t="s">
        <v>250</v>
      </c>
      <c r="E26" s="84" t="s">
        <v>287</v>
      </c>
    </row>
    <row r="27" spans="2:5" x14ac:dyDescent="0.25">
      <c r="B27" s="85">
        <v>25</v>
      </c>
      <c r="C27" s="87">
        <v>2000868</v>
      </c>
      <c r="D27" s="83" t="s">
        <v>320</v>
      </c>
      <c r="E27" s="83" t="s">
        <v>289</v>
      </c>
    </row>
    <row r="28" spans="2:5" x14ac:dyDescent="0.25">
      <c r="B28" s="86">
        <v>26</v>
      </c>
      <c r="C28" s="88">
        <v>3000118</v>
      </c>
      <c r="D28" s="84" t="s">
        <v>232</v>
      </c>
      <c r="E28" s="84" t="s">
        <v>286</v>
      </c>
    </row>
    <row r="29" spans="2:5" x14ac:dyDescent="0.25">
      <c r="B29" s="85">
        <v>27</v>
      </c>
      <c r="C29" s="87">
        <v>2001349</v>
      </c>
      <c r="D29" s="83" t="s">
        <v>233</v>
      </c>
      <c r="E29" s="83" t="s">
        <v>286</v>
      </c>
    </row>
    <row r="30" spans="2:5" x14ac:dyDescent="0.25">
      <c r="B30" s="86">
        <v>28</v>
      </c>
      <c r="C30" s="88">
        <v>2001027</v>
      </c>
      <c r="D30" s="84" t="s">
        <v>266</v>
      </c>
      <c r="E30" s="84" t="s">
        <v>286</v>
      </c>
    </row>
    <row r="31" spans="2:5" x14ac:dyDescent="0.25">
      <c r="B31" s="85">
        <v>29</v>
      </c>
      <c r="C31" s="87">
        <v>2000902</v>
      </c>
      <c r="D31" s="83" t="s">
        <v>257</v>
      </c>
      <c r="E31" s="83" t="s">
        <v>294</v>
      </c>
    </row>
    <row r="32" spans="2:5" x14ac:dyDescent="0.25">
      <c r="B32" s="86">
        <v>30</v>
      </c>
      <c r="C32" s="88">
        <v>2001350</v>
      </c>
      <c r="D32" s="84" t="s">
        <v>267</v>
      </c>
      <c r="E32" s="84" t="s">
        <v>286</v>
      </c>
    </row>
    <row r="33" spans="2:5" x14ac:dyDescent="0.25">
      <c r="B33" s="85">
        <v>31</v>
      </c>
      <c r="C33" s="87">
        <v>2000933</v>
      </c>
      <c r="D33" s="83" t="s">
        <v>321</v>
      </c>
      <c r="E33" s="83" t="s">
        <v>291</v>
      </c>
    </row>
    <row r="34" spans="2:5" x14ac:dyDescent="0.25">
      <c r="B34" s="86">
        <v>32</v>
      </c>
      <c r="C34" s="88">
        <v>2002009</v>
      </c>
      <c r="D34" s="84" t="s">
        <v>322</v>
      </c>
      <c r="E34" s="84" t="s">
        <v>287</v>
      </c>
    </row>
    <row r="35" spans="2:5" x14ac:dyDescent="0.25">
      <c r="B35" s="85">
        <v>33</v>
      </c>
      <c r="C35" s="87">
        <v>2000022</v>
      </c>
      <c r="D35" s="83" t="s">
        <v>263</v>
      </c>
      <c r="E35" s="83" t="s">
        <v>295</v>
      </c>
    </row>
    <row r="36" spans="2:5" x14ac:dyDescent="0.25">
      <c r="B36" s="86">
        <v>34</v>
      </c>
      <c r="C36" s="88">
        <v>2000958</v>
      </c>
      <c r="D36" s="84" t="s">
        <v>247</v>
      </c>
      <c r="E36" s="84" t="s">
        <v>296</v>
      </c>
    </row>
    <row r="37" spans="2:5" x14ac:dyDescent="0.25">
      <c r="B37" s="85">
        <v>35</v>
      </c>
      <c r="C37" s="87">
        <v>2000556</v>
      </c>
      <c r="D37" s="83" t="s">
        <v>240</v>
      </c>
      <c r="E37" s="83" t="s">
        <v>296</v>
      </c>
    </row>
    <row r="38" spans="2:5" x14ac:dyDescent="0.25">
      <c r="B38" s="86">
        <v>36</v>
      </c>
      <c r="C38" s="88">
        <v>2002209</v>
      </c>
      <c r="D38" s="84" t="s">
        <v>323</v>
      </c>
      <c r="E38" s="84" t="s">
        <v>296</v>
      </c>
    </row>
    <row r="39" spans="2:5" x14ac:dyDescent="0.25">
      <c r="B39" s="85">
        <v>37</v>
      </c>
      <c r="C39" s="87">
        <v>2001739</v>
      </c>
      <c r="D39" s="83" t="s">
        <v>324</v>
      </c>
      <c r="E39" s="83" t="s">
        <v>58</v>
      </c>
    </row>
    <row r="40" spans="2:5" x14ac:dyDescent="0.25">
      <c r="B40" s="86">
        <v>38</v>
      </c>
      <c r="C40" s="88">
        <v>2000583</v>
      </c>
      <c r="D40" s="84" t="s">
        <v>243</v>
      </c>
      <c r="E40" s="84" t="s">
        <v>297</v>
      </c>
    </row>
    <row r="41" spans="2:5" x14ac:dyDescent="0.25">
      <c r="B41" s="85">
        <v>39</v>
      </c>
      <c r="C41" s="87">
        <v>2001169</v>
      </c>
      <c r="D41" s="83" t="s">
        <v>231</v>
      </c>
      <c r="E41" s="83" t="s">
        <v>90</v>
      </c>
    </row>
    <row r="42" spans="2:5" x14ac:dyDescent="0.25">
      <c r="B42" s="86">
        <v>40</v>
      </c>
      <c r="C42" s="88">
        <v>2000017</v>
      </c>
      <c r="D42" s="84" t="s">
        <v>246</v>
      </c>
      <c r="E42" s="84" t="s">
        <v>90</v>
      </c>
    </row>
    <row r="43" spans="2:5" x14ac:dyDescent="0.25">
      <c r="B43" s="85">
        <v>41</v>
      </c>
      <c r="C43" s="87">
        <v>2001482</v>
      </c>
      <c r="D43" s="83" t="s">
        <v>325</v>
      </c>
      <c r="E43" s="83" t="s">
        <v>90</v>
      </c>
    </row>
    <row r="44" spans="2:5" x14ac:dyDescent="0.25">
      <c r="B44" s="86">
        <v>42</v>
      </c>
      <c r="C44" s="88">
        <v>2000982</v>
      </c>
      <c r="D44" s="84" t="s">
        <v>251</v>
      </c>
      <c r="E44" s="84" t="s">
        <v>90</v>
      </c>
    </row>
    <row r="45" spans="2:5" x14ac:dyDescent="0.25">
      <c r="B45" s="85">
        <v>43</v>
      </c>
      <c r="C45" s="87">
        <v>2001514</v>
      </c>
      <c r="D45" s="83" t="s">
        <v>326</v>
      </c>
      <c r="E45" s="83" t="s">
        <v>58</v>
      </c>
    </row>
    <row r="46" spans="2:5" x14ac:dyDescent="0.25">
      <c r="B46" s="86">
        <v>44</v>
      </c>
      <c r="C46" s="88">
        <v>1012189</v>
      </c>
      <c r="D46" s="84" t="s">
        <v>327</v>
      </c>
      <c r="E46" s="84" t="s">
        <v>296</v>
      </c>
    </row>
    <row r="47" spans="2:5" x14ac:dyDescent="0.25">
      <c r="B47" s="85">
        <v>45</v>
      </c>
      <c r="C47" s="87">
        <v>2000948</v>
      </c>
      <c r="D47" s="83" t="s">
        <v>252</v>
      </c>
      <c r="E47" s="83" t="s">
        <v>298</v>
      </c>
    </row>
    <row r="48" spans="2:5" x14ac:dyDescent="0.25">
      <c r="B48" s="86">
        <v>46</v>
      </c>
      <c r="C48" s="88">
        <v>2000691</v>
      </c>
      <c r="D48" s="84" t="s">
        <v>253</v>
      </c>
      <c r="E48" s="84" t="s">
        <v>297</v>
      </c>
    </row>
    <row r="49" spans="2:5" x14ac:dyDescent="0.25">
      <c r="B49" s="85">
        <v>47</v>
      </c>
      <c r="C49" s="87">
        <v>2001332</v>
      </c>
      <c r="D49" s="83" t="s">
        <v>234</v>
      </c>
      <c r="E49" s="83" t="s">
        <v>90</v>
      </c>
    </row>
    <row r="50" spans="2:5" x14ac:dyDescent="0.25">
      <c r="B50" s="86">
        <v>48</v>
      </c>
      <c r="C50" s="88">
        <v>2001209</v>
      </c>
      <c r="D50" s="84" t="s">
        <v>235</v>
      </c>
      <c r="E50" s="84" t="s">
        <v>90</v>
      </c>
    </row>
    <row r="51" spans="2:5" x14ac:dyDescent="0.25">
      <c r="B51" s="85">
        <v>49</v>
      </c>
      <c r="C51" s="87">
        <v>2001314</v>
      </c>
      <c r="D51" s="83" t="s">
        <v>260</v>
      </c>
      <c r="E51" s="83" t="s">
        <v>297</v>
      </c>
    </row>
    <row r="52" spans="2:5" x14ac:dyDescent="0.25">
      <c r="B52" s="86">
        <v>50</v>
      </c>
      <c r="C52" s="88">
        <v>2001336</v>
      </c>
      <c r="D52" s="84" t="s">
        <v>268</v>
      </c>
      <c r="E52" s="84" t="s">
        <v>90</v>
      </c>
    </row>
    <row r="53" spans="2:5" x14ac:dyDescent="0.25">
      <c r="B53" s="85">
        <v>51</v>
      </c>
      <c r="C53" s="87">
        <v>2000883</v>
      </c>
      <c r="D53" s="83" t="s">
        <v>269</v>
      </c>
      <c r="E53" s="83" t="s">
        <v>296</v>
      </c>
    </row>
    <row r="54" spans="2:5" x14ac:dyDescent="0.25">
      <c r="B54" s="86">
        <v>52</v>
      </c>
      <c r="C54" s="88">
        <v>2000012</v>
      </c>
      <c r="D54" s="84" t="s">
        <v>261</v>
      </c>
      <c r="E54" s="84" t="s">
        <v>299</v>
      </c>
    </row>
    <row r="55" spans="2:5" x14ac:dyDescent="0.25">
      <c r="B55" s="85">
        <v>53</v>
      </c>
      <c r="C55" s="87">
        <v>2000659</v>
      </c>
      <c r="D55" s="83" t="s">
        <v>262</v>
      </c>
      <c r="E55" s="83" t="s">
        <v>90</v>
      </c>
    </row>
    <row r="56" spans="2:5" x14ac:dyDescent="0.25">
      <c r="B56" s="86">
        <v>54</v>
      </c>
      <c r="C56" s="88">
        <v>2000728</v>
      </c>
      <c r="D56" s="84" t="s">
        <v>328</v>
      </c>
      <c r="E56" s="84" t="s">
        <v>300</v>
      </c>
    </row>
    <row r="57" spans="2:5" x14ac:dyDescent="0.25">
      <c r="B57" s="85">
        <v>55</v>
      </c>
      <c r="C57" s="87">
        <v>3555572</v>
      </c>
      <c r="D57" s="83" t="s">
        <v>270</v>
      </c>
      <c r="E57" s="83" t="s">
        <v>297</v>
      </c>
    </row>
    <row r="58" spans="2:5" x14ac:dyDescent="0.25">
      <c r="B58" s="86">
        <v>56</v>
      </c>
      <c r="C58" s="88">
        <v>2000855</v>
      </c>
      <c r="D58" s="84" t="s">
        <v>237</v>
      </c>
      <c r="E58" s="84" t="s">
        <v>300</v>
      </c>
    </row>
    <row r="59" spans="2:5" x14ac:dyDescent="0.25">
      <c r="B59" s="85">
        <v>57</v>
      </c>
      <c r="C59" s="87">
        <v>2001210</v>
      </c>
      <c r="D59" s="83" t="s">
        <v>271</v>
      </c>
      <c r="E59" s="83" t="s">
        <v>90</v>
      </c>
    </row>
    <row r="60" spans="2:5" x14ac:dyDescent="0.25">
      <c r="B60" s="86">
        <v>58</v>
      </c>
      <c r="C60" s="88">
        <v>2002109</v>
      </c>
      <c r="D60" s="84" t="s">
        <v>329</v>
      </c>
      <c r="E60" s="84" t="s">
        <v>300</v>
      </c>
    </row>
    <row r="61" spans="2:5" x14ac:dyDescent="0.25">
      <c r="B61" s="85">
        <v>59</v>
      </c>
      <c r="C61" s="87">
        <v>2001919</v>
      </c>
      <c r="D61" s="83" t="s">
        <v>330</v>
      </c>
      <c r="E61" s="83" t="s">
        <v>285</v>
      </c>
    </row>
    <row r="62" spans="2:5" x14ac:dyDescent="0.25">
      <c r="B62" s="86">
        <v>60</v>
      </c>
      <c r="C62" s="88">
        <v>2002039</v>
      </c>
      <c r="D62" s="84" t="s">
        <v>272</v>
      </c>
      <c r="E62" s="84" t="s">
        <v>58</v>
      </c>
    </row>
    <row r="63" spans="2:5" x14ac:dyDescent="0.25">
      <c r="B63" s="85">
        <v>61</v>
      </c>
      <c r="C63" s="87">
        <v>2000426</v>
      </c>
      <c r="D63" s="83" t="s">
        <v>241</v>
      </c>
      <c r="E63" s="83" t="s">
        <v>296</v>
      </c>
    </row>
    <row r="64" spans="2:5" x14ac:dyDescent="0.25">
      <c r="B64" s="86">
        <v>62</v>
      </c>
      <c r="C64" s="88">
        <v>2000035</v>
      </c>
      <c r="D64" s="84" t="s">
        <v>256</v>
      </c>
      <c r="E64" s="84" t="s">
        <v>296</v>
      </c>
    </row>
    <row r="65" spans="2:5" x14ac:dyDescent="0.25">
      <c r="B65" s="85">
        <v>63</v>
      </c>
      <c r="C65" s="87">
        <v>2000024</v>
      </c>
      <c r="D65" s="83" t="s">
        <v>331</v>
      </c>
      <c r="E65" s="83" t="s">
        <v>296</v>
      </c>
    </row>
    <row r="66" spans="2:5" x14ac:dyDescent="0.25">
      <c r="B66" s="86">
        <v>64</v>
      </c>
      <c r="C66" s="88">
        <v>2001150</v>
      </c>
      <c r="D66" s="84" t="s">
        <v>273</v>
      </c>
      <c r="E66" s="84" t="s">
        <v>301</v>
      </c>
    </row>
    <row r="67" spans="2:5" x14ac:dyDescent="0.25">
      <c r="B67" s="85">
        <v>65</v>
      </c>
      <c r="C67" s="87">
        <v>2000425</v>
      </c>
      <c r="D67" s="83" t="s">
        <v>332</v>
      </c>
      <c r="E67" s="83" t="s">
        <v>286</v>
      </c>
    </row>
    <row r="68" spans="2:5" x14ac:dyDescent="0.25">
      <c r="B68" s="86">
        <v>66</v>
      </c>
      <c r="C68" s="88">
        <v>3555558</v>
      </c>
      <c r="D68" s="84" t="s">
        <v>331</v>
      </c>
      <c r="E68" s="84" t="s">
        <v>296</v>
      </c>
    </row>
    <row r="69" spans="2:5" x14ac:dyDescent="0.25">
      <c r="B69" s="85">
        <v>67</v>
      </c>
      <c r="C69" s="87">
        <v>3000130</v>
      </c>
      <c r="D69" s="83" t="s">
        <v>274</v>
      </c>
      <c r="E69" s="83" t="s">
        <v>286</v>
      </c>
    </row>
    <row r="70" spans="2:5" x14ac:dyDescent="0.25">
      <c r="B70" s="86">
        <v>68</v>
      </c>
      <c r="C70" s="88">
        <v>2000945</v>
      </c>
      <c r="D70" s="84" t="s">
        <v>275</v>
      </c>
      <c r="E70" s="84" t="s">
        <v>299</v>
      </c>
    </row>
    <row r="71" spans="2:5" x14ac:dyDescent="0.25">
      <c r="B71" s="85">
        <v>69</v>
      </c>
      <c r="C71" s="87">
        <v>2000164</v>
      </c>
      <c r="D71" s="83" t="s">
        <v>333</v>
      </c>
      <c r="E71" s="83" t="s">
        <v>292</v>
      </c>
    </row>
    <row r="72" spans="2:5" x14ac:dyDescent="0.25">
      <c r="B72" s="86">
        <v>70</v>
      </c>
      <c r="C72" s="88">
        <v>3000229</v>
      </c>
      <c r="D72" s="84" t="s">
        <v>334</v>
      </c>
      <c r="E72" s="84" t="s">
        <v>285</v>
      </c>
    </row>
    <row r="73" spans="2:5" x14ac:dyDescent="0.25">
      <c r="B73" s="85">
        <v>71</v>
      </c>
      <c r="C73" s="87">
        <v>3000228</v>
      </c>
      <c r="D73" s="83" t="s">
        <v>276</v>
      </c>
      <c r="E73" s="83" t="s">
        <v>285</v>
      </c>
    </row>
    <row r="74" spans="2:5" x14ac:dyDescent="0.25">
      <c r="B74" s="86">
        <v>72</v>
      </c>
      <c r="C74" s="88">
        <v>2000001</v>
      </c>
      <c r="D74" s="84" t="s">
        <v>335</v>
      </c>
      <c r="E74" s="84" t="s">
        <v>292</v>
      </c>
    </row>
    <row r="75" spans="2:5" x14ac:dyDescent="0.25">
      <c r="B75" s="85">
        <v>73</v>
      </c>
      <c r="C75" s="87">
        <v>2000646</v>
      </c>
      <c r="D75" s="83" t="s">
        <v>239</v>
      </c>
      <c r="E75" s="83" t="s">
        <v>296</v>
      </c>
    </row>
    <row r="76" spans="2:5" x14ac:dyDescent="0.25">
      <c r="B76" s="86">
        <v>74</v>
      </c>
      <c r="C76" s="88">
        <v>2000351</v>
      </c>
      <c r="D76" s="84" t="s">
        <v>336</v>
      </c>
      <c r="E76" s="84" t="s">
        <v>297</v>
      </c>
    </row>
    <row r="77" spans="2:5" x14ac:dyDescent="0.25">
      <c r="B77" s="85">
        <v>75</v>
      </c>
      <c r="C77" s="87">
        <v>2000037</v>
      </c>
      <c r="D77" s="83" t="s">
        <v>337</v>
      </c>
      <c r="E77" s="83" t="s">
        <v>296</v>
      </c>
    </row>
    <row r="78" spans="2:5" x14ac:dyDescent="0.25">
      <c r="B78" s="86">
        <v>76</v>
      </c>
      <c r="C78" s="88">
        <v>2000039</v>
      </c>
      <c r="D78" s="84" t="s">
        <v>338</v>
      </c>
      <c r="E78" s="84" t="s">
        <v>296</v>
      </c>
    </row>
    <row r="79" spans="2:5" x14ac:dyDescent="0.25">
      <c r="B79" s="85">
        <v>77</v>
      </c>
      <c r="C79" s="87">
        <v>2000208</v>
      </c>
      <c r="D79" s="83" t="s">
        <v>339</v>
      </c>
      <c r="E79" s="83" t="s">
        <v>296</v>
      </c>
    </row>
    <row r="80" spans="2:5" x14ac:dyDescent="0.25">
      <c r="B80" s="86">
        <v>78</v>
      </c>
      <c r="C80" s="88">
        <v>3000120</v>
      </c>
      <c r="D80" s="84" t="s">
        <v>340</v>
      </c>
      <c r="E80" s="84" t="s">
        <v>289</v>
      </c>
    </row>
    <row r="81" spans="2:5" x14ac:dyDescent="0.25">
      <c r="B81" s="85">
        <v>79</v>
      </c>
      <c r="C81" s="87">
        <v>2000197</v>
      </c>
      <c r="D81" s="83" t="s">
        <v>341</v>
      </c>
      <c r="E81" s="83" t="s">
        <v>296</v>
      </c>
    </row>
    <row r="82" spans="2:5" x14ac:dyDescent="0.25">
      <c r="B82" s="86">
        <v>80</v>
      </c>
      <c r="C82" s="88">
        <v>2000165</v>
      </c>
      <c r="D82" s="84" t="s">
        <v>342</v>
      </c>
      <c r="E82" s="84" t="s">
        <v>90</v>
      </c>
    </row>
    <row r="83" spans="2:5" x14ac:dyDescent="0.25">
      <c r="B83" s="85">
        <v>81</v>
      </c>
      <c r="C83" s="87">
        <v>2000023</v>
      </c>
      <c r="D83" s="83" t="s">
        <v>343</v>
      </c>
      <c r="E83" s="83" t="s">
        <v>296</v>
      </c>
    </row>
    <row r="84" spans="2:5" x14ac:dyDescent="0.25">
      <c r="B84" s="86">
        <v>82</v>
      </c>
      <c r="C84" s="88">
        <v>2000030</v>
      </c>
      <c r="D84" s="84" t="s">
        <v>344</v>
      </c>
      <c r="E84" s="84" t="s">
        <v>285</v>
      </c>
    </row>
    <row r="85" spans="2:5" x14ac:dyDescent="0.25">
      <c r="B85" s="85">
        <v>83</v>
      </c>
      <c r="C85" s="87">
        <v>2000486</v>
      </c>
      <c r="D85" s="83" t="s">
        <v>345</v>
      </c>
      <c r="E85" s="83" t="s">
        <v>296</v>
      </c>
    </row>
    <row r="86" spans="2:5" x14ac:dyDescent="0.25">
      <c r="B86" s="86">
        <v>84</v>
      </c>
      <c r="C86" s="88">
        <v>2000815</v>
      </c>
      <c r="D86" s="84" t="s">
        <v>346</v>
      </c>
      <c r="E86" s="84" t="s">
        <v>296</v>
      </c>
    </row>
    <row r="87" spans="2:5" x14ac:dyDescent="0.25">
      <c r="B87" s="85">
        <v>85</v>
      </c>
      <c r="C87" s="87">
        <v>2000036</v>
      </c>
      <c r="D87" s="83" t="s">
        <v>347</v>
      </c>
      <c r="E87" s="83" t="s">
        <v>296</v>
      </c>
    </row>
    <row r="88" spans="2:5" x14ac:dyDescent="0.25">
      <c r="B88" s="86">
        <v>86</v>
      </c>
      <c r="C88" s="88">
        <v>2000011</v>
      </c>
      <c r="D88" s="84" t="s">
        <v>348</v>
      </c>
      <c r="E88" s="84" t="s">
        <v>297</v>
      </c>
    </row>
    <row r="89" spans="2:5" x14ac:dyDescent="0.25">
      <c r="B89" s="85">
        <v>87</v>
      </c>
      <c r="C89" s="87">
        <v>2000021</v>
      </c>
      <c r="D89" s="83" t="s">
        <v>349</v>
      </c>
      <c r="E89" s="83" t="s">
        <v>90</v>
      </c>
    </row>
    <row r="90" spans="2:5" x14ac:dyDescent="0.25">
      <c r="B90" s="86">
        <v>88</v>
      </c>
      <c r="C90" s="88">
        <v>3555559</v>
      </c>
      <c r="D90" s="84" t="s">
        <v>347</v>
      </c>
      <c r="E90" s="84" t="s">
        <v>296</v>
      </c>
    </row>
    <row r="91" spans="2:5" x14ac:dyDescent="0.25">
      <c r="B91" s="85">
        <v>89</v>
      </c>
      <c r="C91" s="87">
        <v>2000019</v>
      </c>
      <c r="D91" s="83" t="s">
        <v>350</v>
      </c>
      <c r="E91" s="83" t="s">
        <v>286</v>
      </c>
    </row>
    <row r="92" spans="2:5" x14ac:dyDescent="0.25">
      <c r="B92" s="86">
        <v>90</v>
      </c>
      <c r="C92" s="88">
        <v>2000038</v>
      </c>
      <c r="D92" s="84" t="s">
        <v>351</v>
      </c>
      <c r="E92" s="84" t="s">
        <v>296</v>
      </c>
    </row>
    <row r="93" spans="2:5" x14ac:dyDescent="0.25">
      <c r="B93" s="85">
        <v>91</v>
      </c>
      <c r="C93" s="87">
        <v>3000121</v>
      </c>
      <c r="D93" s="83" t="s">
        <v>352</v>
      </c>
      <c r="E93" s="83" t="s">
        <v>289</v>
      </c>
    </row>
    <row r="94" spans="2:5" x14ac:dyDescent="0.25">
      <c r="B94" s="86">
        <v>92</v>
      </c>
      <c r="C94" s="88">
        <v>2000027</v>
      </c>
      <c r="D94" s="84" t="s">
        <v>353</v>
      </c>
      <c r="E94" s="84" t="s">
        <v>292</v>
      </c>
    </row>
    <row r="95" spans="2:5" x14ac:dyDescent="0.25">
      <c r="B95" s="85">
        <v>93</v>
      </c>
      <c r="C95" s="87">
        <v>2000585</v>
      </c>
      <c r="D95" s="83" t="s">
        <v>354</v>
      </c>
      <c r="E95" s="83" t="s">
        <v>90</v>
      </c>
    </row>
    <row r="96" spans="2:5" x14ac:dyDescent="0.25">
      <c r="B96" s="86">
        <v>94</v>
      </c>
      <c r="C96" s="88">
        <v>2000537</v>
      </c>
      <c r="D96" s="84" t="s">
        <v>355</v>
      </c>
      <c r="E96" s="84" t="s">
        <v>296</v>
      </c>
    </row>
    <row r="97" spans="2:5" x14ac:dyDescent="0.25">
      <c r="B97" s="85">
        <v>95</v>
      </c>
      <c r="C97" s="87">
        <v>3000170</v>
      </c>
      <c r="D97" s="83" t="s">
        <v>233</v>
      </c>
      <c r="E97" s="83" t="s">
        <v>286</v>
      </c>
    </row>
    <row r="98" spans="2:5" x14ac:dyDescent="0.25">
      <c r="B98" s="86">
        <v>96</v>
      </c>
      <c r="C98" s="88">
        <v>2000003</v>
      </c>
      <c r="D98" s="84" t="s">
        <v>356</v>
      </c>
      <c r="E98" s="84" t="s">
        <v>300</v>
      </c>
    </row>
    <row r="99" spans="2:5" x14ac:dyDescent="0.25">
      <c r="B99" s="85">
        <v>97</v>
      </c>
      <c r="C99" s="87">
        <v>2000014</v>
      </c>
      <c r="D99" s="83" t="s">
        <v>357</v>
      </c>
      <c r="E99" s="83" t="s">
        <v>302</v>
      </c>
    </row>
    <row r="100" spans="2:5" x14ac:dyDescent="0.25">
      <c r="B100" s="86">
        <v>98</v>
      </c>
      <c r="C100" s="88">
        <v>2000015</v>
      </c>
      <c r="D100" s="84" t="s">
        <v>358</v>
      </c>
      <c r="E100" s="84" t="s">
        <v>302</v>
      </c>
    </row>
    <row r="101" spans="2:5" x14ac:dyDescent="0.25">
      <c r="B101" s="85">
        <v>99</v>
      </c>
      <c r="C101" s="87">
        <v>2000013</v>
      </c>
      <c r="D101" s="83" t="s">
        <v>359</v>
      </c>
      <c r="E101" s="83" t="s">
        <v>302</v>
      </c>
    </row>
    <row r="102" spans="2:5" x14ac:dyDescent="0.25">
      <c r="B102" s="86">
        <v>100</v>
      </c>
      <c r="C102" s="88">
        <v>2000990</v>
      </c>
      <c r="D102" s="84" t="s">
        <v>360</v>
      </c>
      <c r="E102" s="84" t="s">
        <v>285</v>
      </c>
    </row>
    <row r="103" spans="2:5" x14ac:dyDescent="0.25">
      <c r="B103" s="85">
        <v>101</v>
      </c>
      <c r="C103" s="87">
        <v>2001359</v>
      </c>
      <c r="D103" s="83" t="s">
        <v>361</v>
      </c>
      <c r="E103" s="83" t="s">
        <v>291</v>
      </c>
    </row>
    <row r="104" spans="2:5" x14ac:dyDescent="0.25">
      <c r="B104" s="86">
        <v>102</v>
      </c>
      <c r="C104" s="88">
        <v>2000686</v>
      </c>
      <c r="D104" s="84" t="s">
        <v>362</v>
      </c>
      <c r="E104" s="84" t="s">
        <v>303</v>
      </c>
    </row>
    <row r="105" spans="2:5" x14ac:dyDescent="0.25">
      <c r="B105" s="85">
        <v>103</v>
      </c>
      <c r="C105" s="87">
        <v>2000574</v>
      </c>
      <c r="D105" s="83" t="s">
        <v>363</v>
      </c>
      <c r="E105" s="83" t="s">
        <v>304</v>
      </c>
    </row>
    <row r="106" spans="2:5" x14ac:dyDescent="0.25">
      <c r="B106" s="86">
        <v>104</v>
      </c>
      <c r="C106" s="88">
        <v>2001270</v>
      </c>
      <c r="D106" s="84" t="s">
        <v>277</v>
      </c>
      <c r="E106" s="84" t="s">
        <v>90</v>
      </c>
    </row>
    <row r="107" spans="2:5" x14ac:dyDescent="0.25">
      <c r="B107" s="85">
        <v>105</v>
      </c>
      <c r="C107" s="87">
        <v>2000029</v>
      </c>
      <c r="D107" s="83" t="s">
        <v>364</v>
      </c>
      <c r="E107" s="83" t="s">
        <v>288</v>
      </c>
    </row>
    <row r="108" spans="2:5" x14ac:dyDescent="0.25">
      <c r="B108" s="86">
        <v>106</v>
      </c>
      <c r="C108" s="88">
        <v>2000026</v>
      </c>
      <c r="D108" s="84" t="s">
        <v>365</v>
      </c>
      <c r="E108" s="84" t="s">
        <v>285</v>
      </c>
    </row>
    <row r="109" spans="2:5" x14ac:dyDescent="0.25">
      <c r="B109" s="85">
        <v>107</v>
      </c>
      <c r="C109" s="87">
        <v>2000974</v>
      </c>
      <c r="D109" s="83" t="s">
        <v>278</v>
      </c>
      <c r="E109" s="83" t="s">
        <v>90</v>
      </c>
    </row>
    <row r="110" spans="2:5" x14ac:dyDescent="0.25">
      <c r="B110" s="86">
        <v>108</v>
      </c>
      <c r="C110" s="88">
        <v>2000007</v>
      </c>
      <c r="D110" s="84" t="s">
        <v>366</v>
      </c>
      <c r="E110" s="84" t="s">
        <v>289</v>
      </c>
    </row>
    <row r="111" spans="2:5" x14ac:dyDescent="0.25">
      <c r="B111" s="85">
        <v>109</v>
      </c>
      <c r="C111" s="87">
        <v>2000033</v>
      </c>
      <c r="D111" s="83" t="s">
        <v>367</v>
      </c>
      <c r="E111" s="83" t="s">
        <v>303</v>
      </c>
    </row>
    <row r="112" spans="2:5" x14ac:dyDescent="0.25">
      <c r="B112" s="86">
        <v>110</v>
      </c>
      <c r="C112" s="88">
        <v>2000032</v>
      </c>
      <c r="D112" s="84" t="s">
        <v>368</v>
      </c>
      <c r="E112" s="84" t="s">
        <v>303</v>
      </c>
    </row>
    <row r="113" spans="2:5" x14ac:dyDescent="0.25">
      <c r="B113" s="85">
        <v>111</v>
      </c>
      <c r="C113" s="87">
        <v>2000575</v>
      </c>
      <c r="D113" s="83" t="s">
        <v>369</v>
      </c>
      <c r="E113" s="83" t="s">
        <v>304</v>
      </c>
    </row>
    <row r="114" spans="2:5" x14ac:dyDescent="0.25">
      <c r="B114" s="86">
        <v>112</v>
      </c>
      <c r="C114" s="88">
        <v>2000034</v>
      </c>
      <c r="D114" s="84" t="s">
        <v>370</v>
      </c>
      <c r="E114" s="84" t="s">
        <v>303</v>
      </c>
    </row>
    <row r="115" spans="2:5" x14ac:dyDescent="0.25">
      <c r="B115" s="85">
        <v>113</v>
      </c>
      <c r="C115" s="87">
        <v>2000201</v>
      </c>
      <c r="D115" s="83" t="s">
        <v>236</v>
      </c>
      <c r="E115" s="83" t="s">
        <v>297</v>
      </c>
    </row>
    <row r="116" spans="2:5" x14ac:dyDescent="0.25">
      <c r="B116" s="86">
        <v>114</v>
      </c>
      <c r="C116" s="88">
        <v>2000639</v>
      </c>
      <c r="D116" s="84" t="s">
        <v>371</v>
      </c>
      <c r="E116" s="84" t="s">
        <v>286</v>
      </c>
    </row>
    <row r="117" spans="2:5" x14ac:dyDescent="0.25">
      <c r="B117" s="85">
        <v>115</v>
      </c>
      <c r="C117" s="87">
        <v>2000008</v>
      </c>
      <c r="D117" s="83" t="s">
        <v>372</v>
      </c>
      <c r="E117" s="83" t="s">
        <v>294</v>
      </c>
    </row>
    <row r="118" spans="2:5" x14ac:dyDescent="0.25">
      <c r="B118" s="86">
        <v>116</v>
      </c>
      <c r="C118" s="88">
        <v>2000190</v>
      </c>
      <c r="D118" s="84" t="s">
        <v>279</v>
      </c>
      <c r="E118" s="84" t="s">
        <v>305</v>
      </c>
    </row>
    <row r="119" spans="2:5" x14ac:dyDescent="0.25">
      <c r="B119" s="85">
        <v>117</v>
      </c>
      <c r="C119" s="87">
        <v>2000031</v>
      </c>
      <c r="D119" s="83" t="s">
        <v>373</v>
      </c>
      <c r="E119" s="83" t="s">
        <v>306</v>
      </c>
    </row>
    <row r="120" spans="2:5" x14ac:dyDescent="0.25">
      <c r="B120" s="86">
        <v>118</v>
      </c>
      <c r="C120" s="88">
        <v>2000577</v>
      </c>
      <c r="D120" s="84" t="s">
        <v>374</v>
      </c>
      <c r="E120" s="84" t="s">
        <v>307</v>
      </c>
    </row>
    <row r="121" spans="2:5" x14ac:dyDescent="0.25">
      <c r="B121" s="85">
        <v>119</v>
      </c>
      <c r="C121" s="87">
        <v>3000032</v>
      </c>
      <c r="D121" s="83" t="s">
        <v>375</v>
      </c>
      <c r="E121" s="83" t="s">
        <v>308</v>
      </c>
    </row>
    <row r="122" spans="2:5" x14ac:dyDescent="0.25">
      <c r="B122" s="86">
        <v>120</v>
      </c>
      <c r="C122" s="88">
        <v>2000191</v>
      </c>
      <c r="D122" s="84" t="s">
        <v>376</v>
      </c>
      <c r="E122" s="84" t="s">
        <v>308</v>
      </c>
    </row>
    <row r="123" spans="2:5" x14ac:dyDescent="0.25">
      <c r="B123" s="85">
        <v>121</v>
      </c>
      <c r="C123" s="87">
        <v>4000000</v>
      </c>
      <c r="D123" s="83" t="s">
        <v>280</v>
      </c>
      <c r="E123" s="83" t="s">
        <v>285</v>
      </c>
    </row>
    <row r="124" spans="2:5" x14ac:dyDescent="0.25">
      <c r="B124" s="86">
        <v>122</v>
      </c>
      <c r="C124" s="88">
        <v>2000196</v>
      </c>
      <c r="D124" s="84" t="s">
        <v>377</v>
      </c>
      <c r="E124" s="84" t="s">
        <v>304</v>
      </c>
    </row>
    <row r="125" spans="2:5" x14ac:dyDescent="0.25">
      <c r="B125" s="85">
        <v>123</v>
      </c>
      <c r="C125" s="87">
        <v>2000010</v>
      </c>
      <c r="D125" s="83" t="s">
        <v>378</v>
      </c>
      <c r="E125" s="83" t="s">
        <v>308</v>
      </c>
    </row>
    <row r="126" spans="2:5" x14ac:dyDescent="0.25">
      <c r="B126" s="86">
        <v>124</v>
      </c>
      <c r="C126" s="88">
        <v>3555580</v>
      </c>
      <c r="D126" s="84" t="s">
        <v>379</v>
      </c>
      <c r="E126" s="84" t="s">
        <v>297</v>
      </c>
    </row>
    <row r="127" spans="2:5" x14ac:dyDescent="0.25">
      <c r="B127" s="85">
        <v>125</v>
      </c>
      <c r="C127" s="87">
        <v>3000124</v>
      </c>
      <c r="D127" s="83" t="s">
        <v>281</v>
      </c>
      <c r="E127" s="83" t="s">
        <v>288</v>
      </c>
    </row>
    <row r="128" spans="2:5" x14ac:dyDescent="0.25">
      <c r="B128" s="86">
        <v>126</v>
      </c>
      <c r="C128" s="88">
        <v>2000016</v>
      </c>
      <c r="D128" s="84" t="s">
        <v>380</v>
      </c>
      <c r="E128" s="84" t="s">
        <v>293</v>
      </c>
    </row>
    <row r="129" spans="2:5" x14ac:dyDescent="0.25">
      <c r="B129" s="85">
        <v>127</v>
      </c>
      <c r="C129" s="87">
        <v>3000122</v>
      </c>
      <c r="D129" s="83" t="s">
        <v>381</v>
      </c>
      <c r="E129" s="83" t="s">
        <v>286</v>
      </c>
    </row>
    <row r="130" spans="2:5" x14ac:dyDescent="0.25">
      <c r="B130" s="86">
        <v>128</v>
      </c>
      <c r="C130" s="88">
        <v>3000207</v>
      </c>
      <c r="D130" s="84" t="s">
        <v>382</v>
      </c>
      <c r="E130" s="84" t="s">
        <v>293</v>
      </c>
    </row>
    <row r="131" spans="2:5" x14ac:dyDescent="0.25">
      <c r="B131" s="85">
        <v>129</v>
      </c>
      <c r="C131" s="87">
        <v>2000981</v>
      </c>
      <c r="D131" s="83" t="s">
        <v>383</v>
      </c>
      <c r="E131" s="83" t="s">
        <v>90</v>
      </c>
    </row>
    <row r="132" spans="2:5" x14ac:dyDescent="0.25">
      <c r="B132" s="86">
        <v>130</v>
      </c>
      <c r="C132" s="88">
        <v>2000020</v>
      </c>
      <c r="D132" s="84" t="s">
        <v>384</v>
      </c>
      <c r="E132" s="84" t="s">
        <v>309</v>
      </c>
    </row>
    <row r="133" spans="2:5" x14ac:dyDescent="0.25">
      <c r="B133" s="86">
        <v>131</v>
      </c>
      <c r="C133" s="88">
        <v>2002279</v>
      </c>
      <c r="D133" s="84" t="s">
        <v>385</v>
      </c>
      <c r="E133" s="84" t="s">
        <v>285</v>
      </c>
    </row>
  </sheetData>
  <conditionalFormatting sqref="B3:B12">
    <cfRule type="duplicateValues" dxfId="15" priority="1"/>
  </conditionalFormatting>
  <conditionalFormatting sqref="B13:B133">
    <cfRule type="duplicateValues" dxfId="14" priority="2"/>
  </conditionalFormatting>
  <conditionalFormatting sqref="C3:C133">
    <cfRule type="duplicateValues" dxfId="13" priority="7"/>
  </conditionalFormatting>
  <conditionalFormatting sqref="D3:D12">
    <cfRule type="duplicateValues" dxfId="12" priority="8"/>
  </conditionalFormatting>
  <conditionalFormatting sqref="D13:D133">
    <cfRule type="duplicateValues" dxfId="11" priority="6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714D4-2459-4838-AE22-BF650C6170BD}">
  <sheetPr codeName="Sheet6"/>
  <dimension ref="B1:J20"/>
  <sheetViews>
    <sheetView workbookViewId="0">
      <selection activeCell="F16" sqref="F16"/>
    </sheetView>
  </sheetViews>
  <sheetFormatPr defaultRowHeight="15" x14ac:dyDescent="0.25"/>
  <cols>
    <col min="2" max="2" width="3" bestFit="1" customWidth="1"/>
    <col min="3" max="3" width="15.7109375" bestFit="1" customWidth="1"/>
    <col min="5" max="5" width="2" bestFit="1" customWidth="1"/>
    <col min="6" max="6" width="20.85546875" bestFit="1" customWidth="1"/>
    <col min="8" max="8" width="15.7109375" bestFit="1" customWidth="1"/>
    <col min="10" max="10" width="20.85546875" bestFit="1" customWidth="1"/>
  </cols>
  <sheetData>
    <row r="1" spans="2:10" x14ac:dyDescent="0.25">
      <c r="H1" t="s">
        <v>393</v>
      </c>
      <c r="J1" t="s">
        <v>394</v>
      </c>
    </row>
    <row r="2" spans="2:10" x14ac:dyDescent="0.25">
      <c r="B2" s="89" t="s">
        <v>284</v>
      </c>
      <c r="C2" s="89" t="s">
        <v>405</v>
      </c>
      <c r="E2" s="89" t="s">
        <v>284</v>
      </c>
      <c r="F2" s="89" t="s">
        <v>406</v>
      </c>
      <c r="H2" t="s">
        <v>402</v>
      </c>
      <c r="J2" t="s">
        <v>59</v>
      </c>
    </row>
    <row r="3" spans="2:10" x14ac:dyDescent="0.25">
      <c r="B3" s="85">
        <v>1</v>
      </c>
      <c r="C3" s="87" t="s">
        <v>402</v>
      </c>
      <c r="E3" s="86">
        <v>1</v>
      </c>
      <c r="F3" s="88" t="s">
        <v>226</v>
      </c>
      <c r="H3" t="s">
        <v>386</v>
      </c>
      <c r="J3" t="s">
        <v>401</v>
      </c>
    </row>
    <row r="4" spans="2:10" x14ac:dyDescent="0.25">
      <c r="B4" s="86">
        <v>2</v>
      </c>
      <c r="C4" s="88" t="s">
        <v>386</v>
      </c>
      <c r="E4" s="85">
        <v>2</v>
      </c>
      <c r="F4" s="87" t="s">
        <v>399</v>
      </c>
      <c r="H4" t="s">
        <v>387</v>
      </c>
      <c r="J4" t="s">
        <v>101</v>
      </c>
    </row>
    <row r="5" spans="2:10" x14ac:dyDescent="0.25">
      <c r="B5" s="85">
        <v>3</v>
      </c>
      <c r="C5" s="87" t="s">
        <v>387</v>
      </c>
      <c r="E5" s="86">
        <v>3</v>
      </c>
      <c r="F5" s="88" t="s">
        <v>214</v>
      </c>
      <c r="H5" t="s">
        <v>395</v>
      </c>
      <c r="J5" t="s">
        <v>77</v>
      </c>
    </row>
    <row r="6" spans="2:10" x14ac:dyDescent="0.25">
      <c r="B6" s="86">
        <v>4</v>
      </c>
      <c r="C6" s="88" t="s">
        <v>395</v>
      </c>
      <c r="E6" s="85">
        <v>4</v>
      </c>
      <c r="F6" s="87" t="s">
        <v>400</v>
      </c>
      <c r="H6" t="s">
        <v>398</v>
      </c>
      <c r="J6" t="s">
        <v>400</v>
      </c>
    </row>
    <row r="7" spans="2:10" x14ac:dyDescent="0.25">
      <c r="B7" s="85">
        <v>5</v>
      </c>
      <c r="C7" s="87" t="s">
        <v>398</v>
      </c>
      <c r="E7" s="86">
        <v>5</v>
      </c>
      <c r="F7" s="88" t="s">
        <v>77</v>
      </c>
      <c r="H7" t="s">
        <v>397</v>
      </c>
      <c r="J7" t="s">
        <v>214</v>
      </c>
    </row>
    <row r="8" spans="2:10" x14ac:dyDescent="0.25">
      <c r="B8" s="86">
        <v>6</v>
      </c>
      <c r="C8" s="88" t="s">
        <v>397</v>
      </c>
      <c r="E8" s="85">
        <v>6</v>
      </c>
      <c r="F8" s="87" t="s">
        <v>101</v>
      </c>
      <c r="H8" t="s">
        <v>403</v>
      </c>
      <c r="J8" t="s">
        <v>399</v>
      </c>
    </row>
    <row r="9" spans="2:10" x14ac:dyDescent="0.25">
      <c r="B9" s="85">
        <v>7</v>
      </c>
      <c r="C9" s="87" t="s">
        <v>403</v>
      </c>
      <c r="E9" s="86">
        <v>7</v>
      </c>
      <c r="F9" s="88" t="s">
        <v>401</v>
      </c>
      <c r="H9" t="s">
        <v>221</v>
      </c>
      <c r="J9" t="s">
        <v>226</v>
      </c>
    </row>
    <row r="10" spans="2:10" x14ac:dyDescent="0.25">
      <c r="B10" s="86">
        <v>8</v>
      </c>
      <c r="C10" s="88" t="s">
        <v>221</v>
      </c>
      <c r="E10" s="85">
        <v>8</v>
      </c>
      <c r="F10" s="87" t="s">
        <v>59</v>
      </c>
      <c r="H10" t="s">
        <v>218</v>
      </c>
    </row>
    <row r="11" spans="2:10" x14ac:dyDescent="0.25">
      <c r="B11" s="85">
        <v>9</v>
      </c>
      <c r="C11" s="87" t="s">
        <v>218</v>
      </c>
      <c r="H11" t="s">
        <v>388</v>
      </c>
    </row>
    <row r="12" spans="2:10" x14ac:dyDescent="0.25">
      <c r="B12" s="86">
        <v>10</v>
      </c>
      <c r="C12" s="88" t="s">
        <v>388</v>
      </c>
      <c r="H12" t="s">
        <v>389</v>
      </c>
    </row>
    <row r="13" spans="2:10" x14ac:dyDescent="0.25">
      <c r="B13" s="85">
        <v>11</v>
      </c>
      <c r="C13" s="87" t="s">
        <v>389</v>
      </c>
      <c r="H13" t="s">
        <v>404</v>
      </c>
    </row>
    <row r="14" spans="2:10" x14ac:dyDescent="0.25">
      <c r="B14" s="86">
        <v>12</v>
      </c>
      <c r="C14" s="88" t="s">
        <v>404</v>
      </c>
      <c r="H14" t="s">
        <v>390</v>
      </c>
    </row>
    <row r="15" spans="2:10" x14ac:dyDescent="0.25">
      <c r="B15" s="85">
        <v>13</v>
      </c>
      <c r="C15" s="87" t="s">
        <v>390</v>
      </c>
      <c r="H15" t="s">
        <v>91</v>
      </c>
    </row>
    <row r="16" spans="2:10" x14ac:dyDescent="0.25">
      <c r="B16" s="86">
        <v>14</v>
      </c>
      <c r="C16" s="88" t="s">
        <v>91</v>
      </c>
      <c r="H16" t="s">
        <v>396</v>
      </c>
    </row>
    <row r="17" spans="2:8" x14ac:dyDescent="0.25">
      <c r="B17" s="85">
        <v>15</v>
      </c>
      <c r="C17" s="87" t="s">
        <v>396</v>
      </c>
      <c r="H17" t="s">
        <v>212</v>
      </c>
    </row>
    <row r="18" spans="2:8" x14ac:dyDescent="0.25">
      <c r="B18" s="86">
        <v>16</v>
      </c>
      <c r="C18" s="88" t="s">
        <v>212</v>
      </c>
      <c r="H18" t="s">
        <v>391</v>
      </c>
    </row>
    <row r="19" spans="2:8" x14ac:dyDescent="0.25">
      <c r="B19" s="85">
        <v>17</v>
      </c>
      <c r="C19" s="87" t="s">
        <v>391</v>
      </c>
      <c r="H19" t="s">
        <v>392</v>
      </c>
    </row>
    <row r="20" spans="2:8" x14ac:dyDescent="0.25">
      <c r="B20" s="86">
        <v>18</v>
      </c>
      <c r="C20" s="88" t="s">
        <v>392</v>
      </c>
    </row>
  </sheetData>
  <conditionalFormatting sqref="B3:B20">
    <cfRule type="duplicateValues" dxfId="10" priority="3"/>
  </conditionalFormatting>
  <conditionalFormatting sqref="C3:C20">
    <cfRule type="duplicateValues" dxfId="9" priority="4"/>
  </conditionalFormatting>
  <conditionalFormatting sqref="E3:E10">
    <cfRule type="duplicateValues" dxfId="8" priority="1"/>
  </conditionalFormatting>
  <conditionalFormatting sqref="F3:F10">
    <cfRule type="duplicateValues" dxfId="7" priority="2"/>
  </conditionalFormatting>
  <conditionalFormatting sqref="H2:H19">
    <cfRule type="duplicateValues" dxfId="6" priority="15"/>
  </conditionalFormatting>
  <conditionalFormatting sqref="H20">
    <cfRule type="duplicateValues" dxfId="5" priority="7"/>
  </conditionalFormatting>
  <conditionalFormatting sqref="J20 J2:J17">
    <cfRule type="duplicateValues" dxfId="4" priority="5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E2FA7-1224-4210-B0DD-EA8552C875E4}">
  <sheetPr codeName="Sheet7"/>
  <dimension ref="B3:C9"/>
  <sheetViews>
    <sheetView workbookViewId="0">
      <selection activeCell="K6" sqref="K6"/>
    </sheetView>
  </sheetViews>
  <sheetFormatPr defaultRowHeight="15" x14ac:dyDescent="0.25"/>
  <cols>
    <col min="2" max="2" width="6.42578125" bestFit="1" customWidth="1"/>
    <col min="3" max="3" width="51.7109375" bestFit="1" customWidth="1"/>
  </cols>
  <sheetData>
    <row r="3" spans="2:3" x14ac:dyDescent="0.25">
      <c r="B3" s="89" t="s">
        <v>284</v>
      </c>
      <c r="C3" s="89" t="s">
        <v>4</v>
      </c>
    </row>
    <row r="4" spans="2:3" x14ac:dyDescent="0.25">
      <c r="B4" s="85">
        <v>1</v>
      </c>
      <c r="C4" s="91" t="s">
        <v>411</v>
      </c>
    </row>
    <row r="5" spans="2:3" x14ac:dyDescent="0.25">
      <c r="B5" s="90">
        <v>2</v>
      </c>
      <c r="C5" s="90" t="s">
        <v>410</v>
      </c>
    </row>
    <row r="6" spans="2:3" x14ac:dyDescent="0.25">
      <c r="B6" s="85">
        <v>3</v>
      </c>
      <c r="C6" s="91" t="s">
        <v>407</v>
      </c>
    </row>
    <row r="7" spans="2:3" x14ac:dyDescent="0.25">
      <c r="B7" s="86">
        <v>4</v>
      </c>
      <c r="C7" s="90" t="s">
        <v>408</v>
      </c>
    </row>
    <row r="8" spans="2:3" x14ac:dyDescent="0.25">
      <c r="B8" s="85">
        <v>5</v>
      </c>
      <c r="C8" s="91" t="s">
        <v>409</v>
      </c>
    </row>
    <row r="9" spans="2:3" x14ac:dyDescent="0.25">
      <c r="B9" s="86">
        <v>6</v>
      </c>
      <c r="C9" s="90" t="s">
        <v>93</v>
      </c>
    </row>
  </sheetData>
  <autoFilter ref="B3:C3" xr:uid="{352E2FA7-1224-4210-B0DD-EA8552C875E4}">
    <sortState xmlns:xlrd2="http://schemas.microsoft.com/office/spreadsheetml/2017/richdata2" ref="B4:C9">
      <sortCondition ref="C3"/>
    </sortState>
  </autoFilter>
  <conditionalFormatting sqref="B4">
    <cfRule type="duplicateValues" dxfId="3" priority="1"/>
  </conditionalFormatting>
  <conditionalFormatting sqref="B5">
    <cfRule type="duplicateValues" dxfId="2" priority="2"/>
  </conditionalFormatting>
  <conditionalFormatting sqref="B6:B9">
    <cfRule type="duplicateValues" dxfId="1" priority="18"/>
  </conditionalFormatting>
  <conditionalFormatting sqref="C4:C9">
    <cfRule type="duplicateValues" dxfId="0" priority="17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B534C-BF90-48AA-8B6A-9E961DEA9F92}">
  <sheetPr>
    <pageSetUpPr fitToPage="1"/>
  </sheetPr>
  <dimension ref="B2:AF37"/>
  <sheetViews>
    <sheetView showWhiteSpace="0" zoomScaleNormal="100" workbookViewId="0">
      <selection activeCell="G26" sqref="G26:R26"/>
    </sheetView>
  </sheetViews>
  <sheetFormatPr defaultRowHeight="15" x14ac:dyDescent="0.25"/>
  <cols>
    <col min="1" max="2" width="3.7109375" customWidth="1"/>
    <col min="3" max="3" width="4.7109375" customWidth="1"/>
    <col min="4" max="4" width="2.42578125" customWidth="1"/>
    <col min="5" max="6" width="4.28515625" customWidth="1"/>
    <col min="7" max="7" width="1.42578125" customWidth="1"/>
    <col min="8" max="8" width="4.42578125" customWidth="1"/>
    <col min="9" max="9" width="3.7109375" customWidth="1"/>
    <col min="10" max="10" width="4.28515625" customWidth="1"/>
    <col min="11" max="11" width="3" customWidth="1"/>
    <col min="12" max="12" width="3.85546875" customWidth="1"/>
    <col min="13" max="13" width="5.28515625" customWidth="1"/>
    <col min="14" max="14" width="6.5703125" customWidth="1"/>
    <col min="15" max="15" width="4.7109375" customWidth="1"/>
    <col min="16" max="16" width="1.5703125" customWidth="1"/>
    <col min="17" max="17" width="8.85546875" customWidth="1"/>
    <col min="18" max="18" width="18.85546875" customWidth="1"/>
    <col min="19" max="19" width="3.85546875" customWidth="1"/>
  </cols>
  <sheetData>
    <row r="2" spans="2:32" ht="14.45" customHeight="1" x14ac:dyDescent="0.25">
      <c r="B2" s="153" t="s">
        <v>442</v>
      </c>
      <c r="C2" s="153"/>
      <c r="D2" s="150">
        <f ca="1">TODAY()</f>
        <v>46261</v>
      </c>
      <c r="E2" s="150"/>
      <c r="F2" s="150"/>
      <c r="H2" s="96"/>
      <c r="I2" s="96"/>
      <c r="J2" s="96"/>
      <c r="K2" s="96"/>
      <c r="L2" s="96"/>
      <c r="M2" s="151" t="s">
        <v>437</v>
      </c>
      <c r="N2" s="151"/>
      <c r="O2" s="151"/>
      <c r="P2" s="101" t="s">
        <v>418</v>
      </c>
      <c r="Q2" s="172" t="str">
        <f>'LC Tracker'!I17</f>
        <v>OLCT260054</v>
      </c>
      <c r="R2" s="173"/>
    </row>
    <row r="3" spans="2:32" ht="14.45" customHeight="1" x14ac:dyDescent="0.25">
      <c r="B3" s="97"/>
      <c r="C3" s="97"/>
      <c r="D3" s="97"/>
      <c r="E3" s="97"/>
      <c r="F3" s="97"/>
      <c r="H3" s="96"/>
      <c r="I3" s="96"/>
      <c r="J3" s="96"/>
      <c r="K3" s="96"/>
      <c r="L3" s="96"/>
      <c r="M3" s="151" t="s">
        <v>438</v>
      </c>
      <c r="N3" s="151"/>
      <c r="O3" s="151"/>
      <c r="P3" s="101" t="s">
        <v>418</v>
      </c>
      <c r="Q3" s="163" t="str">
        <f>'LC Tracker'!F17</f>
        <v>2026/ILC/3432</v>
      </c>
      <c r="R3" s="163"/>
    </row>
    <row r="4" spans="2:32" x14ac:dyDescent="0.25">
      <c r="B4" s="92" t="s">
        <v>443</v>
      </c>
      <c r="C4" s="104" t="str">
        <f>'LC Tracker'!E17</f>
        <v>BANK MUSCAT SA</v>
      </c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</row>
    <row r="5" spans="2:32" x14ac:dyDescent="0.25">
      <c r="B5" s="152" t="s">
        <v>415</v>
      </c>
      <c r="C5" s="152"/>
      <c r="D5" s="152"/>
      <c r="E5" s="152"/>
      <c r="F5" s="152"/>
      <c r="G5" s="152"/>
      <c r="H5" s="152"/>
      <c r="I5" s="152"/>
      <c r="J5" s="152"/>
      <c r="K5" s="152"/>
      <c r="L5" s="152"/>
      <c r="M5" s="152"/>
      <c r="N5" s="152"/>
      <c r="O5" s="152"/>
    </row>
    <row r="6" spans="2:32" x14ac:dyDescent="0.25">
      <c r="B6" s="93"/>
      <c r="C6" s="93"/>
      <c r="D6" s="93"/>
      <c r="E6" s="93"/>
      <c r="F6" s="93"/>
    </row>
    <row r="7" spans="2:32" x14ac:dyDescent="0.25">
      <c r="B7" s="93"/>
      <c r="C7" s="93"/>
      <c r="D7" s="93"/>
      <c r="E7" s="93"/>
      <c r="F7" s="93"/>
    </row>
    <row r="8" spans="2:32" x14ac:dyDescent="0.25">
      <c r="B8" s="181" t="s">
        <v>416</v>
      </c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</row>
    <row r="9" spans="2:32" x14ac:dyDescent="0.25">
      <c r="B9" s="93" t="s">
        <v>417</v>
      </c>
      <c r="C9" s="93"/>
      <c r="D9" s="93"/>
      <c r="E9" s="93"/>
      <c r="F9" s="93"/>
    </row>
    <row r="10" spans="2:32" x14ac:dyDescent="0.25">
      <c r="B10" s="177" t="str">
        <f>CONCATENATE("Please find enclosed herewith the shipping documents related to LC No.: ",Q2, " as follows:")</f>
        <v>Please find enclosed herewith the shipping documents related to LC No.: OLCT260054 as follows:</v>
      </c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7"/>
      <c r="N10" s="177"/>
      <c r="O10" s="177"/>
      <c r="P10" s="177"/>
      <c r="Q10" s="177"/>
      <c r="R10" s="177"/>
    </row>
    <row r="11" spans="2:32" x14ac:dyDescent="0.25">
      <c r="B11" s="95"/>
      <c r="C11" s="95"/>
      <c r="D11" s="95"/>
      <c r="E11" s="95"/>
      <c r="F11" s="95"/>
    </row>
    <row r="12" spans="2:32" ht="14.45" customHeight="1" x14ac:dyDescent="0.25">
      <c r="B12" s="163" t="s">
        <v>282</v>
      </c>
      <c r="C12" s="163"/>
      <c r="D12" s="163"/>
      <c r="E12" s="163"/>
      <c r="F12" s="163"/>
      <c r="G12" s="102" t="s">
        <v>418</v>
      </c>
      <c r="H12" s="182" t="s">
        <v>315</v>
      </c>
      <c r="I12" s="182"/>
      <c r="J12" s="182"/>
      <c r="K12" s="182"/>
      <c r="L12" s="182"/>
      <c r="M12" s="182"/>
      <c r="N12" s="182"/>
      <c r="O12" s="182"/>
      <c r="P12" s="182"/>
      <c r="Q12" s="182"/>
      <c r="R12" s="182"/>
    </row>
    <row r="13" spans="2:32" ht="14.45" customHeight="1" x14ac:dyDescent="0.25">
      <c r="B13" s="187" t="s">
        <v>419</v>
      </c>
      <c r="C13" s="187"/>
      <c r="D13" s="187"/>
      <c r="E13" s="187"/>
      <c r="F13" s="187"/>
      <c r="G13" s="187" t="s">
        <v>418</v>
      </c>
      <c r="H13" s="186" t="str">
        <f>CONCATENATE('LC Tracker'!P17," &amp; ",'LC Tracker'!W17, " &amp; ",'LC Tracker'!AD17, " &amp; ", 'LC Tracker'!AK17, " &amp; ",'LC Tracker'!AR17, " &amp; ",'LC Tracker'!AY17, " &amp; ",'LC Tracker'!BF17, " &amp; ", 'LC Tracker'!BM17, )</f>
        <v>91219680 &amp; 91219652 &amp; 91219676 &amp; 91219677 &amp; 91219678 &amp; 91219681 &amp; 91219690 &amp; 91219898</v>
      </c>
      <c r="I13" s="186"/>
      <c r="J13" s="186"/>
      <c r="K13" s="186"/>
      <c r="L13" s="186"/>
      <c r="M13" s="186"/>
      <c r="N13" s="186"/>
      <c r="O13" s="186"/>
      <c r="P13" s="186"/>
      <c r="Q13" s="186"/>
      <c r="R13" s="186"/>
    </row>
    <row r="14" spans="2:32" x14ac:dyDescent="0.25">
      <c r="B14" s="187"/>
      <c r="C14" s="187"/>
      <c r="D14" s="187"/>
      <c r="E14" s="187"/>
      <c r="F14" s="187"/>
      <c r="G14" s="187"/>
      <c r="H14" s="186"/>
      <c r="I14" s="186"/>
      <c r="J14" s="186"/>
      <c r="K14" s="186"/>
      <c r="L14" s="186"/>
      <c r="M14" s="186"/>
      <c r="N14" s="186"/>
      <c r="O14" s="186"/>
      <c r="P14" s="186"/>
      <c r="Q14" s="186"/>
      <c r="R14" s="186"/>
    </row>
    <row r="15" spans="2:32" ht="15.75" thickBot="1" x14ac:dyDescent="0.3">
      <c r="B15" s="99"/>
      <c r="C15" s="99"/>
      <c r="D15" s="99"/>
      <c r="E15" s="99"/>
      <c r="F15" s="99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</row>
    <row r="16" spans="2:32" ht="15" customHeight="1" thickBot="1" x14ac:dyDescent="0.3">
      <c r="B16" s="183" t="s">
        <v>420</v>
      </c>
      <c r="C16" s="184"/>
      <c r="D16" s="184"/>
      <c r="E16" s="184"/>
      <c r="F16" s="185"/>
      <c r="G16" s="174" t="s">
        <v>421</v>
      </c>
      <c r="H16" s="175"/>
      <c r="I16" s="175"/>
      <c r="J16" s="175"/>
      <c r="K16" s="175"/>
      <c r="L16" s="175"/>
      <c r="M16" s="175"/>
      <c r="N16" s="176"/>
      <c r="O16" s="174" t="s">
        <v>422</v>
      </c>
      <c r="P16" s="175"/>
      <c r="Q16" s="175"/>
      <c r="R16" s="176"/>
    </row>
    <row r="17" spans="2:18" ht="15" customHeight="1" thickBot="1" x14ac:dyDescent="0.3">
      <c r="B17" s="160" t="s">
        <v>423</v>
      </c>
      <c r="C17" s="161"/>
      <c r="D17" s="161"/>
      <c r="E17" s="161"/>
      <c r="F17" s="162"/>
      <c r="G17" s="154" t="s">
        <v>428</v>
      </c>
      <c r="H17" s="155"/>
      <c r="I17" s="155"/>
      <c r="J17" s="155"/>
      <c r="K17" s="155"/>
      <c r="L17" s="155"/>
      <c r="M17" s="155"/>
      <c r="N17" s="156"/>
      <c r="O17" s="154" t="s">
        <v>424</v>
      </c>
      <c r="P17" s="155"/>
      <c r="Q17" s="155"/>
      <c r="R17" s="156"/>
    </row>
    <row r="18" spans="2:18" ht="15" customHeight="1" thickBot="1" x14ac:dyDescent="0.3">
      <c r="B18" s="157" t="s">
        <v>425</v>
      </c>
      <c r="C18" s="158"/>
      <c r="D18" s="158"/>
      <c r="E18" s="158"/>
      <c r="F18" s="159"/>
      <c r="G18" s="154" t="s">
        <v>426</v>
      </c>
      <c r="H18" s="155"/>
      <c r="I18" s="155"/>
      <c r="J18" s="155"/>
      <c r="K18" s="155"/>
      <c r="L18" s="155"/>
      <c r="M18" s="155"/>
      <c r="N18" s="156"/>
      <c r="O18" s="154" t="s">
        <v>426</v>
      </c>
      <c r="P18" s="155"/>
      <c r="Q18" s="155"/>
      <c r="R18" s="156"/>
    </row>
    <row r="19" spans="2:18" ht="15" customHeight="1" thickBot="1" x14ac:dyDescent="0.3">
      <c r="B19" s="157" t="s">
        <v>441</v>
      </c>
      <c r="C19" s="158"/>
      <c r="D19" s="158"/>
      <c r="E19" s="158"/>
      <c r="F19" s="159"/>
      <c r="G19" s="154" t="s">
        <v>426</v>
      </c>
      <c r="H19" s="155"/>
      <c r="I19" s="155"/>
      <c r="J19" s="155"/>
      <c r="K19" s="155"/>
      <c r="L19" s="155"/>
      <c r="M19" s="155"/>
      <c r="N19" s="156"/>
      <c r="O19" s="154" t="s">
        <v>424</v>
      </c>
      <c r="P19" s="155"/>
      <c r="Q19" s="155"/>
      <c r="R19" s="156"/>
    </row>
    <row r="20" spans="2:18" ht="15" customHeight="1" thickBot="1" x14ac:dyDescent="0.3">
      <c r="B20" s="160" t="s">
        <v>427</v>
      </c>
      <c r="C20" s="161"/>
      <c r="D20" s="161"/>
      <c r="E20" s="161"/>
      <c r="F20" s="162"/>
      <c r="G20" s="154" t="s">
        <v>428</v>
      </c>
      <c r="H20" s="155"/>
      <c r="I20" s="155"/>
      <c r="J20" s="155"/>
      <c r="K20" s="155"/>
      <c r="L20" s="155"/>
      <c r="M20" s="155"/>
      <c r="N20" s="156"/>
      <c r="O20" s="154" t="s">
        <v>424</v>
      </c>
      <c r="P20" s="155"/>
      <c r="Q20" s="155"/>
      <c r="R20" s="156"/>
    </row>
    <row r="21" spans="2:18" ht="15" customHeight="1" thickBot="1" x14ac:dyDescent="0.3">
      <c r="B21" s="160" t="s">
        <v>439</v>
      </c>
      <c r="C21" s="161"/>
      <c r="D21" s="161"/>
      <c r="E21" s="161"/>
      <c r="F21" s="162"/>
      <c r="G21" s="154" t="s">
        <v>426</v>
      </c>
      <c r="H21" s="155"/>
      <c r="I21" s="155"/>
      <c r="J21" s="155"/>
      <c r="K21" s="155"/>
      <c r="L21" s="155"/>
      <c r="M21" s="155"/>
      <c r="N21" s="156"/>
      <c r="O21" s="154" t="s">
        <v>424</v>
      </c>
      <c r="P21" s="155"/>
      <c r="Q21" s="155"/>
      <c r="R21" s="156"/>
    </row>
    <row r="22" spans="2:18" ht="15" customHeight="1" thickBot="1" x14ac:dyDescent="0.3">
      <c r="B22" s="160" t="s">
        <v>440</v>
      </c>
      <c r="C22" s="161"/>
      <c r="D22" s="161"/>
      <c r="E22" s="161"/>
      <c r="F22" s="162"/>
      <c r="G22" s="154" t="s">
        <v>426</v>
      </c>
      <c r="H22" s="155"/>
      <c r="I22" s="155"/>
      <c r="J22" s="155"/>
      <c r="K22" s="155"/>
      <c r="L22" s="155"/>
      <c r="M22" s="155"/>
      <c r="N22" s="156"/>
      <c r="O22" s="154" t="s">
        <v>426</v>
      </c>
      <c r="P22" s="155"/>
      <c r="Q22" s="155"/>
      <c r="R22" s="156"/>
    </row>
    <row r="23" spans="2:18" ht="15.75" thickBot="1" x14ac:dyDescent="0.3">
      <c r="B23" s="157" t="s">
        <v>429</v>
      </c>
      <c r="C23" s="158"/>
      <c r="D23" s="158"/>
      <c r="E23" s="158"/>
      <c r="F23" s="159"/>
      <c r="G23" s="154" t="s">
        <v>424</v>
      </c>
      <c r="H23" s="155"/>
      <c r="I23" s="155"/>
      <c r="J23" s="155"/>
      <c r="K23" s="155"/>
      <c r="L23" s="155"/>
      <c r="M23" s="155"/>
      <c r="N23" s="156"/>
      <c r="O23" s="154" t="s">
        <v>426</v>
      </c>
      <c r="P23" s="155"/>
      <c r="Q23" s="155"/>
      <c r="R23" s="156"/>
    </row>
    <row r="24" spans="2:18" ht="15.75" thickBot="1" x14ac:dyDescent="0.3">
      <c r="B24" s="95"/>
      <c r="C24" s="95"/>
      <c r="D24" s="95"/>
      <c r="E24" s="95"/>
      <c r="F24" s="95"/>
    </row>
    <row r="25" spans="2:18" ht="15" customHeight="1" thickBot="1" x14ac:dyDescent="0.3">
      <c r="B25" s="165" t="s">
        <v>430</v>
      </c>
      <c r="C25" s="166"/>
      <c r="D25" s="166"/>
      <c r="E25" s="166"/>
      <c r="F25" s="167"/>
      <c r="G25" s="168">
        <f>'LC Tracker'!Q17+'LC Tracker'!X17+'LC Tracker'!AE17+'LC Tracker'!AL17+'LC Tracker'!AS17+'LC Tracker'!AZ17+'LC Tracker'!BG17+'LC Tracker'!BN17</f>
        <v>435078.21</v>
      </c>
      <c r="H25" s="169"/>
      <c r="I25" s="169"/>
      <c r="J25" s="169"/>
      <c r="K25" s="169"/>
      <c r="L25" s="169"/>
      <c r="M25" s="169"/>
      <c r="N25" s="169"/>
      <c r="O25" s="169"/>
      <c r="P25" s="169"/>
      <c r="Q25" s="169"/>
      <c r="R25" s="170"/>
    </row>
    <row r="26" spans="2:18" ht="15" customHeight="1" thickBot="1" x14ac:dyDescent="0.3">
      <c r="B26" s="165" t="s">
        <v>431</v>
      </c>
      <c r="C26" s="166"/>
      <c r="D26" s="166"/>
      <c r="E26" s="166"/>
      <c r="F26" s="167"/>
      <c r="G26" s="154" t="s">
        <v>453</v>
      </c>
      <c r="H26" s="155"/>
      <c r="I26" s="155"/>
      <c r="J26" s="155"/>
      <c r="K26" s="155"/>
      <c r="L26" s="155"/>
      <c r="M26" s="155"/>
      <c r="N26" s="155"/>
      <c r="O26" s="155"/>
      <c r="P26" s="155"/>
      <c r="Q26" s="155"/>
      <c r="R26" s="156"/>
    </row>
    <row r="27" spans="2:18" ht="15.75" thickBot="1" x14ac:dyDescent="0.3">
      <c r="B27" s="165" t="s">
        <v>432</v>
      </c>
      <c r="C27" s="166"/>
      <c r="D27" s="166"/>
      <c r="E27" s="166"/>
      <c r="F27" s="167"/>
      <c r="G27" s="154" t="s">
        <v>27</v>
      </c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6"/>
    </row>
    <row r="28" spans="2:18" x14ac:dyDescent="0.25">
      <c r="B28" s="93"/>
      <c r="C28" s="93"/>
      <c r="D28" s="93"/>
      <c r="E28" s="93"/>
      <c r="F28" s="93"/>
    </row>
    <row r="29" spans="2:18" x14ac:dyDescent="0.25">
      <c r="B29" s="177" t="s">
        <v>433</v>
      </c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</row>
    <row r="30" spans="2:18" ht="15.75" thickBot="1" x14ac:dyDescent="0.3"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</row>
    <row r="31" spans="2:18" ht="15" customHeight="1" thickBot="1" x14ac:dyDescent="0.3">
      <c r="B31" s="165" t="s">
        <v>434</v>
      </c>
      <c r="C31" s="166"/>
      <c r="D31" s="166"/>
      <c r="E31" s="166"/>
      <c r="F31" s="167"/>
      <c r="G31" s="178" t="str">
        <f>CONCATENATE(C4,", Riyadh, Kingdom of Saudi Arabia")</f>
        <v>BANK MUSCAT SA, Riyadh, Kingdom of Saudi Arabia</v>
      </c>
      <c r="H31" s="179"/>
      <c r="I31" s="179"/>
      <c r="J31" s="179"/>
      <c r="K31" s="179"/>
      <c r="L31" s="179"/>
      <c r="M31" s="179"/>
      <c r="N31" s="179"/>
      <c r="O31" s="179"/>
      <c r="P31" s="179"/>
      <c r="Q31" s="179"/>
      <c r="R31" s="180"/>
    </row>
    <row r="32" spans="2:18" ht="15" customHeight="1" thickBot="1" x14ac:dyDescent="0.3">
      <c r="B32" s="165" t="s">
        <v>435</v>
      </c>
      <c r="C32" s="166"/>
      <c r="D32" s="166"/>
      <c r="E32" s="166"/>
      <c r="F32" s="167"/>
      <c r="G32" s="178" t="s">
        <v>451</v>
      </c>
      <c r="H32" s="179"/>
      <c r="I32" s="179"/>
      <c r="J32" s="179"/>
      <c r="K32" s="179"/>
      <c r="L32" s="179"/>
      <c r="M32" s="179"/>
      <c r="N32" s="179"/>
      <c r="O32" s="179"/>
      <c r="P32" s="179"/>
      <c r="Q32" s="179"/>
      <c r="R32" s="180"/>
    </row>
    <row r="33" spans="2:18" ht="15" customHeight="1" x14ac:dyDescent="0.25"/>
    <row r="34" spans="2:18" ht="14.45" customHeight="1" x14ac:dyDescent="0.25">
      <c r="B34" s="164" t="s">
        <v>436</v>
      </c>
      <c r="C34" s="164"/>
      <c r="D34" s="164"/>
      <c r="E34" s="164"/>
      <c r="F34" s="164"/>
      <c r="G34" s="164"/>
      <c r="H34" s="164"/>
      <c r="I34" s="164"/>
      <c r="J34" s="164"/>
      <c r="K34" s="164"/>
      <c r="L34" s="164"/>
      <c r="M34" s="164"/>
      <c r="N34" s="164"/>
      <c r="O34" s="164"/>
      <c r="P34" s="164"/>
      <c r="Q34" s="164"/>
      <c r="R34" s="164"/>
    </row>
    <row r="35" spans="2:18" x14ac:dyDescent="0.25">
      <c r="B35" s="164"/>
      <c r="C35" s="164"/>
      <c r="D35" s="164"/>
      <c r="E35" s="164"/>
      <c r="F35" s="164"/>
      <c r="G35" s="164"/>
      <c r="H35" s="164"/>
      <c r="I35" s="164"/>
      <c r="J35" s="164"/>
      <c r="K35" s="164"/>
      <c r="L35" s="164"/>
      <c r="M35" s="164"/>
      <c r="N35" s="164"/>
      <c r="O35" s="164"/>
      <c r="P35" s="164"/>
      <c r="Q35" s="164"/>
      <c r="R35" s="164"/>
    </row>
    <row r="36" spans="2:18" x14ac:dyDescent="0.25">
      <c r="B36" s="100"/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</row>
    <row r="37" spans="2:18" x14ac:dyDescent="0.25">
      <c r="B37" s="171" t="s">
        <v>414</v>
      </c>
      <c r="C37" s="171"/>
      <c r="D37" s="171"/>
      <c r="E37" s="171"/>
      <c r="F37" s="171"/>
      <c r="G37" s="171"/>
      <c r="H37" s="171"/>
      <c r="I37" s="171"/>
      <c r="J37" s="171"/>
      <c r="K37" s="171"/>
      <c r="L37" s="171"/>
      <c r="M37" s="171"/>
      <c r="N37" s="171"/>
      <c r="O37" s="171"/>
      <c r="P37" s="171"/>
      <c r="Q37" s="171"/>
      <c r="R37" s="171"/>
    </row>
  </sheetData>
  <mergeCells count="51">
    <mergeCell ref="B8:R8"/>
    <mergeCell ref="B10:R10"/>
    <mergeCell ref="H12:R12"/>
    <mergeCell ref="B16:F16"/>
    <mergeCell ref="G16:N16"/>
    <mergeCell ref="H13:R14"/>
    <mergeCell ref="B13:F14"/>
    <mergeCell ref="G13:G14"/>
    <mergeCell ref="B37:R37"/>
    <mergeCell ref="Q2:R2"/>
    <mergeCell ref="Q3:R3"/>
    <mergeCell ref="O16:R16"/>
    <mergeCell ref="O17:R17"/>
    <mergeCell ref="O19:R19"/>
    <mergeCell ref="O20:R20"/>
    <mergeCell ref="B27:F27"/>
    <mergeCell ref="G27:R27"/>
    <mergeCell ref="B29:R29"/>
    <mergeCell ref="B31:F31"/>
    <mergeCell ref="G31:R31"/>
    <mergeCell ref="B32:F32"/>
    <mergeCell ref="G32:R32"/>
    <mergeCell ref="B23:F23"/>
    <mergeCell ref="G23:N23"/>
    <mergeCell ref="O23:R23"/>
    <mergeCell ref="B12:F12"/>
    <mergeCell ref="O21:R21"/>
    <mergeCell ref="B34:R35"/>
    <mergeCell ref="B25:F25"/>
    <mergeCell ref="G25:R25"/>
    <mergeCell ref="B26:F26"/>
    <mergeCell ref="G26:R26"/>
    <mergeCell ref="B20:F20"/>
    <mergeCell ref="G20:N20"/>
    <mergeCell ref="B21:F21"/>
    <mergeCell ref="G21:N21"/>
    <mergeCell ref="B17:F17"/>
    <mergeCell ref="G17:N17"/>
    <mergeCell ref="B19:F19"/>
    <mergeCell ref="O18:R18"/>
    <mergeCell ref="G18:N18"/>
    <mergeCell ref="B18:F18"/>
    <mergeCell ref="O22:R22"/>
    <mergeCell ref="G22:N22"/>
    <mergeCell ref="B22:F22"/>
    <mergeCell ref="G19:N19"/>
    <mergeCell ref="D2:F2"/>
    <mergeCell ref="M2:O2"/>
    <mergeCell ref="M3:O3"/>
    <mergeCell ref="B5:O5"/>
    <mergeCell ref="B2:C2"/>
  </mergeCells>
  <phoneticPr fontId="18" type="noConversion"/>
  <pageMargins left="0.7" right="0.7" top="0.75" bottom="0.75" header="0.3" footer="0.3"/>
  <pageSetup scale="96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095A274-68A2-4ECB-8A01-265E08482DFA}">
          <x14:formula1>
            <xm:f>'Cust Data'!$D$3:$D$154</xm:f>
          </x14:formula1>
          <xm:sqref>H12:R12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4DFE0-517C-4571-BDB3-75156AE9A90C}">
  <sheetPr>
    <pageSetUpPr fitToPage="1"/>
  </sheetPr>
  <dimension ref="B2:AF33"/>
  <sheetViews>
    <sheetView showWhiteSpace="0" zoomScaleNormal="100" workbookViewId="0">
      <selection activeCell="G22" sqref="G22:R22"/>
    </sheetView>
  </sheetViews>
  <sheetFormatPr defaultRowHeight="15" x14ac:dyDescent="0.25"/>
  <cols>
    <col min="1" max="2" width="3.7109375" customWidth="1"/>
    <col min="3" max="3" width="4.7109375" customWidth="1"/>
    <col min="4" max="4" width="2.42578125" customWidth="1"/>
    <col min="5" max="6" width="4.28515625" customWidth="1"/>
    <col min="7" max="7" width="1.42578125" customWidth="1"/>
    <col min="8" max="8" width="4.42578125" customWidth="1"/>
    <col min="9" max="9" width="3.7109375" customWidth="1"/>
    <col min="10" max="10" width="4.28515625" customWidth="1"/>
    <col min="11" max="11" width="3" customWidth="1"/>
    <col min="12" max="12" width="3.85546875" customWidth="1"/>
    <col min="13" max="13" width="5.28515625" customWidth="1"/>
    <col min="14" max="14" width="6.5703125" customWidth="1"/>
    <col min="15" max="15" width="4.7109375" customWidth="1"/>
    <col min="16" max="16" width="1.5703125" customWidth="1"/>
    <col min="17" max="17" width="8.85546875" customWidth="1"/>
    <col min="18" max="18" width="18.85546875" customWidth="1"/>
    <col min="19" max="19" width="3.85546875" customWidth="1"/>
  </cols>
  <sheetData>
    <row r="2" spans="2:32" ht="14.45" customHeight="1" x14ac:dyDescent="0.25">
      <c r="B2" s="153" t="s">
        <v>442</v>
      </c>
      <c r="C2" s="153"/>
      <c r="D2" s="150">
        <f ca="1">TODAY()</f>
        <v>46261</v>
      </c>
      <c r="E2" s="150"/>
      <c r="F2" s="150"/>
      <c r="H2" s="96"/>
      <c r="I2" s="96"/>
      <c r="J2" s="96"/>
      <c r="K2" s="96"/>
      <c r="L2" s="96"/>
      <c r="M2" s="151" t="s">
        <v>437</v>
      </c>
      <c r="N2" s="151"/>
      <c r="O2" s="151"/>
      <c r="P2" s="101" t="s">
        <v>418</v>
      </c>
      <c r="Q2" s="172" t="str">
        <f>'LC Tracker'!I17</f>
        <v>OLCT260054</v>
      </c>
      <c r="R2" s="173"/>
    </row>
    <row r="3" spans="2:32" ht="14.45" customHeight="1" x14ac:dyDescent="0.25">
      <c r="B3" s="97"/>
      <c r="C3" s="97"/>
      <c r="D3" s="97"/>
      <c r="E3" s="97"/>
      <c r="F3" s="97"/>
      <c r="H3" s="96"/>
      <c r="I3" s="96"/>
      <c r="J3" s="96"/>
      <c r="K3" s="96"/>
      <c r="L3" s="96"/>
      <c r="M3" s="151" t="s">
        <v>438</v>
      </c>
      <c r="N3" s="151"/>
      <c r="O3" s="151"/>
      <c r="P3" s="101" t="s">
        <v>418</v>
      </c>
      <c r="Q3" s="163" t="str">
        <f>'LC Tracker'!F17</f>
        <v>2026/ILC/3432</v>
      </c>
      <c r="R3" s="163"/>
    </row>
    <row r="4" spans="2:32" x14ac:dyDescent="0.25">
      <c r="B4" s="92" t="s">
        <v>443</v>
      </c>
      <c r="C4" s="104" t="str">
        <f>'LC Tracker'!E17</f>
        <v>BANK MUSCAT SA</v>
      </c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</row>
    <row r="5" spans="2:32" x14ac:dyDescent="0.25">
      <c r="B5" s="152" t="s">
        <v>415</v>
      </c>
      <c r="C5" s="152"/>
      <c r="D5" s="152"/>
      <c r="E5" s="152"/>
      <c r="F5" s="152"/>
      <c r="G5" s="152"/>
      <c r="H5" s="152"/>
      <c r="I5" s="152"/>
      <c r="J5" s="152"/>
      <c r="K5" s="152"/>
      <c r="L5" s="152"/>
      <c r="M5" s="152"/>
      <c r="N5" s="152"/>
      <c r="O5" s="152"/>
    </row>
    <row r="6" spans="2:32" x14ac:dyDescent="0.25">
      <c r="B6" s="93"/>
      <c r="C6" s="93"/>
      <c r="D6" s="93"/>
      <c r="E6" s="93"/>
      <c r="F6" s="93"/>
    </row>
    <row r="7" spans="2:32" x14ac:dyDescent="0.25">
      <c r="B7" s="93"/>
      <c r="C7" s="93"/>
      <c r="D7" s="93"/>
      <c r="E7" s="93"/>
      <c r="F7" s="93"/>
    </row>
    <row r="8" spans="2:32" x14ac:dyDescent="0.25">
      <c r="B8" s="181" t="s">
        <v>416</v>
      </c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</row>
    <row r="9" spans="2:32" x14ac:dyDescent="0.25">
      <c r="B9" s="93" t="s">
        <v>417</v>
      </c>
      <c r="C9" s="93"/>
      <c r="D9" s="93"/>
      <c r="E9" s="93"/>
      <c r="F9" s="93"/>
    </row>
    <row r="10" spans="2:32" x14ac:dyDescent="0.25">
      <c r="B10" s="177" t="str">
        <f>CONCATENATE("Please find enclosed herewith the shipping documents related to LC No.: ",Q2, " as follows:")</f>
        <v>Please find enclosed herewith the shipping documents related to LC No.: OLCT260054 as follows:</v>
      </c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7"/>
      <c r="N10" s="177"/>
      <c r="O10" s="177"/>
      <c r="P10" s="177"/>
      <c r="Q10" s="177"/>
      <c r="R10" s="177"/>
    </row>
    <row r="11" spans="2:32" x14ac:dyDescent="0.25">
      <c r="B11" s="95"/>
      <c r="C11" s="95"/>
      <c r="D11" s="95"/>
      <c r="E11" s="95"/>
      <c r="F11" s="95"/>
    </row>
    <row r="12" spans="2:32" ht="14.45" customHeight="1" x14ac:dyDescent="0.25">
      <c r="B12" s="163" t="s">
        <v>282</v>
      </c>
      <c r="C12" s="163"/>
      <c r="D12" s="163"/>
      <c r="E12" s="163"/>
      <c r="F12" s="163"/>
      <c r="G12" s="102" t="s">
        <v>418</v>
      </c>
      <c r="H12" s="182" t="s">
        <v>315</v>
      </c>
      <c r="I12" s="182"/>
      <c r="J12" s="182"/>
      <c r="K12" s="182"/>
      <c r="L12" s="182"/>
      <c r="M12" s="182"/>
      <c r="N12" s="182"/>
      <c r="O12" s="182"/>
      <c r="P12" s="182"/>
      <c r="Q12" s="182"/>
      <c r="R12" s="182"/>
    </row>
    <row r="13" spans="2:32" ht="14.45" customHeight="1" x14ac:dyDescent="0.25">
      <c r="B13" s="187" t="s">
        <v>419</v>
      </c>
      <c r="C13" s="187"/>
      <c r="D13" s="187"/>
      <c r="E13" s="187"/>
      <c r="F13" s="187"/>
      <c r="G13" s="187" t="s">
        <v>418</v>
      </c>
      <c r="H13" s="186" t="str">
        <f>CONCATENATE('LC Tracker'!P17," &amp; ",'LC Tracker'!W17, " &amp; ",'LC Tracker'!AD17, " &amp; ", 'LC Tracker'!AK17, " &amp; ",'LC Tracker'!AR17, " &amp; ",'LC Tracker'!AY17, " &amp; ",'LC Tracker'!BF17, " &amp; ", 'LC Tracker'!BM17, )</f>
        <v>91219680 &amp; 91219652 &amp; 91219676 &amp; 91219677 &amp; 91219678 &amp; 91219681 &amp; 91219690 &amp; 91219898</v>
      </c>
      <c r="I13" s="186"/>
      <c r="J13" s="186"/>
      <c r="K13" s="186"/>
      <c r="L13" s="186"/>
      <c r="M13" s="186"/>
      <c r="N13" s="186"/>
      <c r="O13" s="186"/>
      <c r="P13" s="186"/>
      <c r="Q13" s="186"/>
      <c r="R13" s="186"/>
    </row>
    <row r="14" spans="2:32" x14ac:dyDescent="0.25">
      <c r="B14" s="187"/>
      <c r="C14" s="187"/>
      <c r="D14" s="187"/>
      <c r="E14" s="187"/>
      <c r="F14" s="187"/>
      <c r="G14" s="187"/>
      <c r="H14" s="186"/>
      <c r="I14" s="186"/>
      <c r="J14" s="186"/>
      <c r="K14" s="186"/>
      <c r="L14" s="186"/>
      <c r="M14" s="186"/>
      <c r="N14" s="186"/>
      <c r="O14" s="186"/>
      <c r="P14" s="186"/>
      <c r="Q14" s="186"/>
      <c r="R14" s="186"/>
    </row>
    <row r="15" spans="2:32" ht="15.75" thickBot="1" x14ac:dyDescent="0.3">
      <c r="B15" s="99"/>
      <c r="C15" s="99"/>
      <c r="D15" s="99"/>
      <c r="E15" s="99"/>
      <c r="F15" s="99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</row>
    <row r="16" spans="2:32" ht="15" customHeight="1" thickBot="1" x14ac:dyDescent="0.3">
      <c r="B16" s="183" t="s">
        <v>420</v>
      </c>
      <c r="C16" s="184"/>
      <c r="D16" s="184"/>
      <c r="E16" s="184"/>
      <c r="F16" s="185"/>
      <c r="G16" s="174" t="s">
        <v>421</v>
      </c>
      <c r="H16" s="175"/>
      <c r="I16" s="175"/>
      <c r="J16" s="175"/>
      <c r="K16" s="175"/>
      <c r="L16" s="175"/>
      <c r="M16" s="175"/>
      <c r="N16" s="176"/>
      <c r="O16" s="174" t="s">
        <v>422</v>
      </c>
      <c r="P16" s="175"/>
      <c r="Q16" s="175"/>
      <c r="R16" s="176"/>
    </row>
    <row r="17" spans="2:18" ht="15" customHeight="1" thickBot="1" x14ac:dyDescent="0.3">
      <c r="B17" s="160" t="s">
        <v>423</v>
      </c>
      <c r="C17" s="161"/>
      <c r="D17" s="161"/>
      <c r="E17" s="161"/>
      <c r="F17" s="162"/>
      <c r="G17" s="154">
        <v>8</v>
      </c>
      <c r="H17" s="155"/>
      <c r="I17" s="155"/>
      <c r="J17" s="155"/>
      <c r="K17" s="155"/>
      <c r="L17" s="155"/>
      <c r="M17" s="155"/>
      <c r="N17" s="156"/>
      <c r="O17" s="154">
        <v>8</v>
      </c>
      <c r="P17" s="155"/>
      <c r="Q17" s="155"/>
      <c r="R17" s="156"/>
    </row>
    <row r="18" spans="2:18" ht="15" customHeight="1" thickBot="1" x14ac:dyDescent="0.3">
      <c r="B18" s="160" t="s">
        <v>452</v>
      </c>
      <c r="C18" s="161"/>
      <c r="D18" s="161"/>
      <c r="E18" s="161"/>
      <c r="F18" s="162"/>
      <c r="G18" s="154">
        <v>3</v>
      </c>
      <c r="H18" s="155"/>
      <c r="I18" s="155"/>
      <c r="J18" s="155"/>
      <c r="K18" s="155"/>
      <c r="L18" s="155"/>
      <c r="M18" s="155"/>
      <c r="N18" s="156"/>
      <c r="O18" s="154" t="s">
        <v>424</v>
      </c>
      <c r="P18" s="155"/>
      <c r="Q18" s="155"/>
      <c r="R18" s="156"/>
    </row>
    <row r="19" spans="2:18" ht="15.75" thickBot="1" x14ac:dyDescent="0.3">
      <c r="B19" s="157" t="s">
        <v>429</v>
      </c>
      <c r="C19" s="158"/>
      <c r="D19" s="158"/>
      <c r="E19" s="158"/>
      <c r="F19" s="159"/>
      <c r="G19" s="154" t="s">
        <v>424</v>
      </c>
      <c r="H19" s="155"/>
      <c r="I19" s="155"/>
      <c r="J19" s="155"/>
      <c r="K19" s="155"/>
      <c r="L19" s="155"/>
      <c r="M19" s="155"/>
      <c r="N19" s="156"/>
      <c r="O19" s="154">
        <v>1</v>
      </c>
      <c r="P19" s="155"/>
      <c r="Q19" s="155"/>
      <c r="R19" s="156"/>
    </row>
    <row r="20" spans="2:18" ht="15.75" thickBot="1" x14ac:dyDescent="0.3">
      <c r="B20" s="95"/>
      <c r="C20" s="95"/>
      <c r="D20" s="95"/>
      <c r="E20" s="95"/>
      <c r="F20" s="95"/>
    </row>
    <row r="21" spans="2:18" ht="15" customHeight="1" thickBot="1" x14ac:dyDescent="0.3">
      <c r="B21" s="165" t="s">
        <v>430</v>
      </c>
      <c r="C21" s="166"/>
      <c r="D21" s="166"/>
      <c r="E21" s="166"/>
      <c r="F21" s="167"/>
      <c r="G21" s="188" t="s">
        <v>454</v>
      </c>
      <c r="H21" s="169"/>
      <c r="I21" s="169"/>
      <c r="J21" s="169"/>
      <c r="K21" s="169"/>
      <c r="L21" s="169"/>
      <c r="M21" s="169"/>
      <c r="N21" s="169"/>
      <c r="O21" s="169"/>
      <c r="P21" s="169"/>
      <c r="Q21" s="169"/>
      <c r="R21" s="170"/>
    </row>
    <row r="22" spans="2:18" ht="15" customHeight="1" thickBot="1" x14ac:dyDescent="0.3">
      <c r="B22" s="165" t="s">
        <v>431</v>
      </c>
      <c r="C22" s="166"/>
      <c r="D22" s="166"/>
      <c r="E22" s="166"/>
      <c r="F22" s="167"/>
      <c r="G22" s="154" t="s">
        <v>453</v>
      </c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6"/>
    </row>
    <row r="23" spans="2:18" ht="15.75" thickBot="1" x14ac:dyDescent="0.3">
      <c r="B23" s="165" t="s">
        <v>432</v>
      </c>
      <c r="C23" s="166"/>
      <c r="D23" s="166"/>
      <c r="E23" s="166"/>
      <c r="F23" s="167"/>
      <c r="G23" s="154" t="s">
        <v>27</v>
      </c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6"/>
    </row>
    <row r="24" spans="2:18" x14ac:dyDescent="0.25">
      <c r="B24" s="93"/>
      <c r="C24" s="93"/>
      <c r="D24" s="93"/>
      <c r="E24" s="93"/>
      <c r="F24" s="93"/>
    </row>
    <row r="25" spans="2:18" x14ac:dyDescent="0.25">
      <c r="B25" s="177" t="s">
        <v>433</v>
      </c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</row>
    <row r="26" spans="2:18" ht="15.75" thickBot="1" x14ac:dyDescent="0.3"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94"/>
    </row>
    <row r="27" spans="2:18" ht="15" customHeight="1" thickBot="1" x14ac:dyDescent="0.3">
      <c r="B27" s="165" t="s">
        <v>434</v>
      </c>
      <c r="C27" s="166"/>
      <c r="D27" s="166"/>
      <c r="E27" s="166"/>
      <c r="F27" s="167"/>
      <c r="G27" s="178" t="str">
        <f>CONCATENATE(C4,", Riyadh, Kingdom of Saudi Arabia")</f>
        <v>BANK MUSCAT SA, Riyadh, Kingdom of Saudi Arabia</v>
      </c>
      <c r="H27" s="179"/>
      <c r="I27" s="179"/>
      <c r="J27" s="179"/>
      <c r="K27" s="179"/>
      <c r="L27" s="179"/>
      <c r="M27" s="179"/>
      <c r="N27" s="179"/>
      <c r="O27" s="179"/>
      <c r="P27" s="179"/>
      <c r="Q27" s="179"/>
      <c r="R27" s="180"/>
    </row>
    <row r="28" spans="2:18" ht="15" customHeight="1" thickBot="1" x14ac:dyDescent="0.3">
      <c r="B28" s="165" t="s">
        <v>435</v>
      </c>
      <c r="C28" s="166"/>
      <c r="D28" s="166"/>
      <c r="E28" s="166"/>
      <c r="F28" s="167"/>
      <c r="G28" s="178" t="s">
        <v>451</v>
      </c>
      <c r="H28" s="179"/>
      <c r="I28" s="179"/>
      <c r="J28" s="179"/>
      <c r="K28" s="179"/>
      <c r="L28" s="179"/>
      <c r="M28" s="179"/>
      <c r="N28" s="179"/>
      <c r="O28" s="179"/>
      <c r="P28" s="179"/>
      <c r="Q28" s="179"/>
      <c r="R28" s="180"/>
    </row>
    <row r="29" spans="2:18" ht="15" customHeight="1" x14ac:dyDescent="0.25"/>
    <row r="30" spans="2:18" ht="14.45" customHeight="1" x14ac:dyDescent="0.25">
      <c r="B30" s="164" t="s">
        <v>436</v>
      </c>
      <c r="C30" s="164"/>
      <c r="D30" s="164"/>
      <c r="E30" s="164"/>
      <c r="F30" s="164"/>
      <c r="G30" s="164"/>
      <c r="H30" s="164"/>
      <c r="I30" s="164"/>
      <c r="J30" s="164"/>
      <c r="K30" s="164"/>
      <c r="L30" s="164"/>
      <c r="M30" s="164"/>
      <c r="N30" s="164"/>
      <c r="O30" s="164"/>
      <c r="P30" s="164"/>
      <c r="Q30" s="164"/>
      <c r="R30" s="164"/>
    </row>
    <row r="31" spans="2:18" x14ac:dyDescent="0.25">
      <c r="B31" s="164"/>
      <c r="C31" s="164"/>
      <c r="D31" s="164"/>
      <c r="E31" s="164"/>
      <c r="F31" s="164"/>
      <c r="G31" s="164"/>
      <c r="H31" s="164"/>
      <c r="I31" s="164"/>
      <c r="J31" s="164"/>
      <c r="K31" s="164"/>
      <c r="L31" s="164"/>
      <c r="M31" s="164"/>
      <c r="N31" s="164"/>
      <c r="O31" s="164"/>
      <c r="P31" s="164"/>
      <c r="Q31" s="164"/>
      <c r="R31" s="164"/>
    </row>
    <row r="32" spans="2:18" x14ac:dyDescent="0.25">
      <c r="B32" s="100"/>
      <c r="C32" s="100"/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</row>
    <row r="33" spans="2:18" x14ac:dyDescent="0.25">
      <c r="B33" s="171" t="s">
        <v>414</v>
      </c>
      <c r="C33" s="171"/>
      <c r="D33" s="171"/>
      <c r="E33" s="171"/>
      <c r="F33" s="171"/>
      <c r="G33" s="171"/>
      <c r="H33" s="171"/>
      <c r="I33" s="171"/>
      <c r="J33" s="171"/>
      <c r="K33" s="171"/>
      <c r="L33" s="171"/>
      <c r="M33" s="171"/>
      <c r="N33" s="171"/>
      <c r="O33" s="171"/>
      <c r="P33" s="171"/>
      <c r="Q33" s="171"/>
      <c r="R33" s="171"/>
    </row>
  </sheetData>
  <mergeCells count="39">
    <mergeCell ref="B13:F14"/>
    <mergeCell ref="G13:G14"/>
    <mergeCell ref="H13:R14"/>
    <mergeCell ref="B2:C2"/>
    <mergeCell ref="D2:F2"/>
    <mergeCell ref="M2:O2"/>
    <mergeCell ref="Q2:R2"/>
    <mergeCell ref="M3:O3"/>
    <mergeCell ref="Q3:R3"/>
    <mergeCell ref="B5:O5"/>
    <mergeCell ref="B8:R8"/>
    <mergeCell ref="B10:R10"/>
    <mergeCell ref="B12:F12"/>
    <mergeCell ref="H12:R12"/>
    <mergeCell ref="B16:F16"/>
    <mergeCell ref="G16:N16"/>
    <mergeCell ref="O16:R16"/>
    <mergeCell ref="B17:F17"/>
    <mergeCell ref="G17:N17"/>
    <mergeCell ref="O17:R17"/>
    <mergeCell ref="B18:F18"/>
    <mergeCell ref="G18:N18"/>
    <mergeCell ref="O18:R18"/>
    <mergeCell ref="B19:F19"/>
    <mergeCell ref="G19:N19"/>
    <mergeCell ref="O19:R19"/>
    <mergeCell ref="B21:F21"/>
    <mergeCell ref="G21:R21"/>
    <mergeCell ref="B22:F22"/>
    <mergeCell ref="G22:R22"/>
    <mergeCell ref="B23:F23"/>
    <mergeCell ref="G23:R23"/>
    <mergeCell ref="B33:R33"/>
    <mergeCell ref="B25:R25"/>
    <mergeCell ref="B27:F27"/>
    <mergeCell ref="G27:R27"/>
    <mergeCell ref="B28:F28"/>
    <mergeCell ref="G28:R28"/>
    <mergeCell ref="B30:R31"/>
  </mergeCells>
  <pageMargins left="0.7" right="0.7" top="0.75" bottom="0.75" header="0.3" footer="0.3"/>
  <pageSetup scale="96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2A28FEA-FCFB-4598-8E09-07B9AA564DE8}">
          <x14:formula1>
            <xm:f>'Cust Data'!$D$3:$D$154</xm:f>
          </x14:formula1>
          <xm:sqref>H12:R12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4DF85-8418-4AA3-962C-93FCE5763B21}">
  <sheetPr>
    <pageSetUpPr fitToPage="1"/>
  </sheetPr>
  <dimension ref="B2:AF37"/>
  <sheetViews>
    <sheetView showWhiteSpace="0" topLeftCell="A25" zoomScaleNormal="100" workbookViewId="0">
      <selection activeCell="U17" sqref="U17"/>
    </sheetView>
  </sheetViews>
  <sheetFormatPr defaultRowHeight="15" x14ac:dyDescent="0.25"/>
  <cols>
    <col min="1" max="2" width="3.7109375" customWidth="1"/>
    <col min="3" max="3" width="4.7109375" customWidth="1"/>
    <col min="4" max="4" width="2.42578125" customWidth="1"/>
    <col min="5" max="6" width="4.28515625" customWidth="1"/>
    <col min="7" max="7" width="1.42578125" customWidth="1"/>
    <col min="8" max="8" width="4.42578125" customWidth="1"/>
    <col min="9" max="9" width="3.7109375" customWidth="1"/>
    <col min="10" max="10" width="4.28515625" customWidth="1"/>
    <col min="11" max="11" width="3" customWidth="1"/>
    <col min="12" max="12" width="3.85546875" customWidth="1"/>
    <col min="13" max="13" width="5.28515625" customWidth="1"/>
    <col min="14" max="14" width="6.5703125" customWidth="1"/>
    <col min="15" max="15" width="4.7109375" customWidth="1"/>
    <col min="16" max="16" width="1.5703125" customWidth="1"/>
    <col min="17" max="17" width="8.85546875" customWidth="1"/>
    <col min="18" max="18" width="18.85546875" customWidth="1"/>
    <col min="19" max="19" width="3.85546875" customWidth="1"/>
  </cols>
  <sheetData>
    <row r="2" spans="2:32" ht="14.45" customHeight="1" x14ac:dyDescent="0.25">
      <c r="B2" s="153" t="s">
        <v>442</v>
      </c>
      <c r="C2" s="153"/>
      <c r="D2" s="150">
        <f ca="1">TODAY()</f>
        <v>46261</v>
      </c>
      <c r="E2" s="150"/>
      <c r="F2" s="150"/>
      <c r="H2" s="96"/>
      <c r="I2" s="96"/>
      <c r="J2" s="96"/>
      <c r="K2" s="96"/>
      <c r="L2" s="96"/>
      <c r="M2" s="151" t="s">
        <v>437</v>
      </c>
      <c r="N2" s="151"/>
      <c r="O2" s="151"/>
      <c r="P2" s="101" t="s">
        <v>418</v>
      </c>
      <c r="Q2" s="172" t="str">
        <f>'LC Tracker'!I17</f>
        <v>OLCT260054</v>
      </c>
      <c r="R2" s="173"/>
    </row>
    <row r="3" spans="2:32" ht="14.45" customHeight="1" x14ac:dyDescent="0.25">
      <c r="B3" s="97"/>
      <c r="C3" s="97"/>
      <c r="D3" s="97"/>
      <c r="E3" s="97"/>
      <c r="F3" s="97"/>
      <c r="H3" s="96"/>
      <c r="I3" s="96"/>
      <c r="J3" s="96"/>
      <c r="K3" s="96"/>
      <c r="L3" s="96"/>
      <c r="M3" s="151" t="s">
        <v>438</v>
      </c>
      <c r="N3" s="151"/>
      <c r="O3" s="151"/>
      <c r="P3" s="101" t="s">
        <v>418</v>
      </c>
      <c r="Q3" s="163" t="str">
        <f>'LC Tracker'!F17</f>
        <v>2026/ILC/3432</v>
      </c>
      <c r="R3" s="163"/>
    </row>
    <row r="4" spans="2:32" x14ac:dyDescent="0.25">
      <c r="B4" s="92" t="s">
        <v>443</v>
      </c>
      <c r="C4" s="104" t="str">
        <f>'LC Tracker'!E17</f>
        <v>BANK MUSCAT SA</v>
      </c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</row>
    <row r="5" spans="2:32" x14ac:dyDescent="0.25">
      <c r="B5" s="152" t="s">
        <v>415</v>
      </c>
      <c r="C5" s="152"/>
      <c r="D5" s="152"/>
      <c r="E5" s="152"/>
      <c r="F5" s="152"/>
      <c r="G5" s="152"/>
      <c r="H5" s="152"/>
      <c r="I5" s="152"/>
      <c r="J5" s="152"/>
      <c r="K5" s="152"/>
      <c r="L5" s="152"/>
      <c r="M5" s="152"/>
      <c r="N5" s="152"/>
      <c r="O5" s="152"/>
    </row>
    <row r="6" spans="2:32" x14ac:dyDescent="0.25">
      <c r="B6" s="93"/>
      <c r="C6" s="93"/>
      <c r="D6" s="93"/>
      <c r="E6" s="93"/>
      <c r="F6" s="93"/>
    </row>
    <row r="7" spans="2:32" x14ac:dyDescent="0.25">
      <c r="B7" s="93"/>
      <c r="C7" s="93"/>
      <c r="D7" s="93"/>
      <c r="E7" s="93"/>
      <c r="F7" s="93"/>
    </row>
    <row r="8" spans="2:32" x14ac:dyDescent="0.25">
      <c r="B8" s="181" t="s">
        <v>416</v>
      </c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</row>
    <row r="9" spans="2:32" x14ac:dyDescent="0.25">
      <c r="B9" s="93" t="s">
        <v>417</v>
      </c>
      <c r="C9" s="93"/>
      <c r="D9" s="93"/>
      <c r="E9" s="93"/>
      <c r="F9" s="93"/>
    </row>
    <row r="10" spans="2:32" x14ac:dyDescent="0.25">
      <c r="B10" s="177" t="str">
        <f>CONCATENATE("Please find enclosed herewith the shipping documents related to LC No.: ",Q2, " as follows:")</f>
        <v>Please find enclosed herewith the shipping documents related to LC No.: OLCT260054 as follows:</v>
      </c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7"/>
      <c r="N10" s="177"/>
      <c r="O10" s="177"/>
      <c r="P10" s="177"/>
      <c r="Q10" s="177"/>
      <c r="R10" s="177"/>
    </row>
    <row r="11" spans="2:32" x14ac:dyDescent="0.25">
      <c r="B11" s="95"/>
      <c r="C11" s="95"/>
      <c r="D11" s="95"/>
      <c r="E11" s="95"/>
      <c r="F11" s="95"/>
    </row>
    <row r="12" spans="2:32" ht="14.45" customHeight="1" x14ac:dyDescent="0.25">
      <c r="B12" s="163" t="s">
        <v>282</v>
      </c>
      <c r="C12" s="163"/>
      <c r="D12" s="163"/>
      <c r="E12" s="163"/>
      <c r="F12" s="163"/>
      <c r="G12" s="102" t="s">
        <v>418</v>
      </c>
      <c r="H12" s="182" t="s">
        <v>315</v>
      </c>
      <c r="I12" s="182"/>
      <c r="J12" s="182"/>
      <c r="K12" s="182"/>
      <c r="L12" s="182"/>
      <c r="M12" s="182"/>
      <c r="N12" s="182"/>
      <c r="O12" s="182"/>
      <c r="P12" s="182"/>
      <c r="Q12" s="182"/>
      <c r="R12" s="182"/>
    </row>
    <row r="13" spans="2:32" ht="14.45" customHeight="1" x14ac:dyDescent="0.25">
      <c r="B13" s="187" t="s">
        <v>419</v>
      </c>
      <c r="C13" s="187"/>
      <c r="D13" s="187"/>
      <c r="E13" s="187"/>
      <c r="F13" s="187"/>
      <c r="G13" s="187" t="s">
        <v>418</v>
      </c>
      <c r="H13" s="186" t="str">
        <f>CONCATENATE('LC Tracker'!P17," &amp; ",'LC Tracker'!W17, " &amp; ",'LC Tracker'!AD17, " &amp; ", 'LC Tracker'!AK17, " &amp; ",'LC Tracker'!AR17, " &amp; ",'LC Tracker'!AY17, " &amp; ",'LC Tracker'!BF17, " &amp; ", 'LC Tracker'!BM17, )</f>
        <v>91219680 &amp; 91219652 &amp; 91219676 &amp; 91219677 &amp; 91219678 &amp; 91219681 &amp; 91219690 &amp; 91219898</v>
      </c>
      <c r="I13" s="186"/>
      <c r="J13" s="186"/>
      <c r="K13" s="186"/>
      <c r="L13" s="186"/>
      <c r="M13" s="186"/>
      <c r="N13" s="186"/>
      <c r="O13" s="186"/>
      <c r="P13" s="186"/>
      <c r="Q13" s="186"/>
      <c r="R13" s="186"/>
    </row>
    <row r="14" spans="2:32" x14ac:dyDescent="0.25">
      <c r="B14" s="187"/>
      <c r="C14" s="187"/>
      <c r="D14" s="187"/>
      <c r="E14" s="187"/>
      <c r="F14" s="187"/>
      <c r="G14" s="187"/>
      <c r="H14" s="186"/>
      <c r="I14" s="186"/>
      <c r="J14" s="186"/>
      <c r="K14" s="186"/>
      <c r="L14" s="186"/>
      <c r="M14" s="186"/>
      <c r="N14" s="186"/>
      <c r="O14" s="186"/>
      <c r="P14" s="186"/>
      <c r="Q14" s="186"/>
      <c r="R14" s="186"/>
    </row>
    <row r="15" spans="2:32" ht="15.75" thickBot="1" x14ac:dyDescent="0.3">
      <c r="B15" s="99"/>
      <c r="C15" s="99"/>
      <c r="D15" s="99"/>
      <c r="E15" s="99"/>
      <c r="F15" s="99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</row>
    <row r="16" spans="2:32" ht="15" customHeight="1" thickBot="1" x14ac:dyDescent="0.3">
      <c r="B16" s="183" t="s">
        <v>420</v>
      </c>
      <c r="C16" s="184"/>
      <c r="D16" s="184"/>
      <c r="E16" s="184"/>
      <c r="F16" s="185"/>
      <c r="G16" s="174" t="s">
        <v>421</v>
      </c>
      <c r="H16" s="175"/>
      <c r="I16" s="175"/>
      <c r="J16" s="175"/>
      <c r="K16" s="175"/>
      <c r="L16" s="175"/>
      <c r="M16" s="175"/>
      <c r="N16" s="176"/>
      <c r="O16" s="174" t="s">
        <v>422</v>
      </c>
      <c r="P16" s="175"/>
      <c r="Q16" s="175"/>
      <c r="R16" s="176"/>
    </row>
    <row r="17" spans="2:18" ht="15" customHeight="1" thickBot="1" x14ac:dyDescent="0.3">
      <c r="B17" s="160" t="s">
        <v>423</v>
      </c>
      <c r="C17" s="161"/>
      <c r="D17" s="161"/>
      <c r="E17" s="161"/>
      <c r="F17" s="162"/>
      <c r="G17" s="154" t="s">
        <v>428</v>
      </c>
      <c r="H17" s="155"/>
      <c r="I17" s="155"/>
      <c r="J17" s="155"/>
      <c r="K17" s="155"/>
      <c r="L17" s="155"/>
      <c r="M17" s="155"/>
      <c r="N17" s="156"/>
      <c r="O17" s="154" t="s">
        <v>424</v>
      </c>
      <c r="P17" s="155"/>
      <c r="Q17" s="155"/>
      <c r="R17" s="156"/>
    </row>
    <row r="18" spans="2:18" ht="15" customHeight="1" thickBot="1" x14ac:dyDescent="0.3">
      <c r="B18" s="157" t="s">
        <v>425</v>
      </c>
      <c r="C18" s="158"/>
      <c r="D18" s="158"/>
      <c r="E18" s="158"/>
      <c r="F18" s="159"/>
      <c r="G18" s="154" t="s">
        <v>426</v>
      </c>
      <c r="H18" s="155"/>
      <c r="I18" s="155"/>
      <c r="J18" s="155"/>
      <c r="K18" s="155"/>
      <c r="L18" s="155"/>
      <c r="M18" s="155"/>
      <c r="N18" s="156"/>
      <c r="O18" s="154" t="s">
        <v>426</v>
      </c>
      <c r="P18" s="155"/>
      <c r="Q18" s="155"/>
      <c r="R18" s="156"/>
    </row>
    <row r="19" spans="2:18" ht="15" customHeight="1" thickBot="1" x14ac:dyDescent="0.3">
      <c r="B19" s="157" t="s">
        <v>441</v>
      </c>
      <c r="C19" s="158"/>
      <c r="D19" s="158"/>
      <c r="E19" s="158"/>
      <c r="F19" s="159"/>
      <c r="G19" s="154" t="s">
        <v>426</v>
      </c>
      <c r="H19" s="155"/>
      <c r="I19" s="155"/>
      <c r="J19" s="155"/>
      <c r="K19" s="155"/>
      <c r="L19" s="155"/>
      <c r="M19" s="155"/>
      <c r="N19" s="156"/>
      <c r="O19" s="154" t="s">
        <v>424</v>
      </c>
      <c r="P19" s="155"/>
      <c r="Q19" s="155"/>
      <c r="R19" s="156"/>
    </row>
    <row r="20" spans="2:18" ht="15" customHeight="1" thickBot="1" x14ac:dyDescent="0.3">
      <c r="B20" s="160" t="s">
        <v>427</v>
      </c>
      <c r="C20" s="161"/>
      <c r="D20" s="161"/>
      <c r="E20" s="161"/>
      <c r="F20" s="162"/>
      <c r="G20" s="154" t="s">
        <v>428</v>
      </c>
      <c r="H20" s="155"/>
      <c r="I20" s="155"/>
      <c r="J20" s="155"/>
      <c r="K20" s="155"/>
      <c r="L20" s="155"/>
      <c r="M20" s="155"/>
      <c r="N20" s="156"/>
      <c r="O20" s="154" t="s">
        <v>424</v>
      </c>
      <c r="P20" s="155"/>
      <c r="Q20" s="155"/>
      <c r="R20" s="156"/>
    </row>
    <row r="21" spans="2:18" ht="15" customHeight="1" thickBot="1" x14ac:dyDescent="0.3">
      <c r="B21" s="160" t="s">
        <v>439</v>
      </c>
      <c r="C21" s="161"/>
      <c r="D21" s="161"/>
      <c r="E21" s="161"/>
      <c r="F21" s="162"/>
      <c r="G21" s="154" t="s">
        <v>426</v>
      </c>
      <c r="H21" s="155"/>
      <c r="I21" s="155"/>
      <c r="J21" s="155"/>
      <c r="K21" s="155"/>
      <c r="L21" s="155"/>
      <c r="M21" s="155"/>
      <c r="N21" s="156"/>
      <c r="O21" s="154" t="s">
        <v>424</v>
      </c>
      <c r="P21" s="155"/>
      <c r="Q21" s="155"/>
      <c r="R21" s="156"/>
    </row>
    <row r="22" spans="2:18" ht="15" customHeight="1" thickBot="1" x14ac:dyDescent="0.3">
      <c r="B22" s="160" t="s">
        <v>440</v>
      </c>
      <c r="C22" s="161"/>
      <c r="D22" s="161"/>
      <c r="E22" s="161"/>
      <c r="F22" s="162"/>
      <c r="G22" s="154" t="s">
        <v>426</v>
      </c>
      <c r="H22" s="155"/>
      <c r="I22" s="155"/>
      <c r="J22" s="155"/>
      <c r="K22" s="155"/>
      <c r="L22" s="155"/>
      <c r="M22" s="155"/>
      <c r="N22" s="156"/>
      <c r="O22" s="154" t="s">
        <v>426</v>
      </c>
      <c r="P22" s="155"/>
      <c r="Q22" s="155"/>
      <c r="R22" s="156"/>
    </row>
    <row r="23" spans="2:18" ht="15.75" thickBot="1" x14ac:dyDescent="0.3">
      <c r="B23" s="157" t="s">
        <v>429</v>
      </c>
      <c r="C23" s="158"/>
      <c r="D23" s="158"/>
      <c r="E23" s="158"/>
      <c r="F23" s="159"/>
      <c r="G23" s="154" t="s">
        <v>424</v>
      </c>
      <c r="H23" s="155"/>
      <c r="I23" s="155"/>
      <c r="J23" s="155"/>
      <c r="K23" s="155"/>
      <c r="L23" s="155"/>
      <c r="M23" s="155"/>
      <c r="N23" s="156"/>
      <c r="O23" s="154" t="s">
        <v>426</v>
      </c>
      <c r="P23" s="155"/>
      <c r="Q23" s="155"/>
      <c r="R23" s="156"/>
    </row>
    <row r="24" spans="2:18" ht="15.75" thickBot="1" x14ac:dyDescent="0.3">
      <c r="B24" s="95"/>
      <c r="C24" s="95"/>
      <c r="D24" s="95"/>
      <c r="E24" s="95"/>
      <c r="F24" s="95"/>
    </row>
    <row r="25" spans="2:18" ht="15" customHeight="1" thickBot="1" x14ac:dyDescent="0.3">
      <c r="B25" s="165" t="s">
        <v>430</v>
      </c>
      <c r="C25" s="166"/>
      <c r="D25" s="166"/>
      <c r="E25" s="166"/>
      <c r="F25" s="167"/>
      <c r="G25" s="168">
        <f>'LC Tracker'!Q17+'LC Tracker'!X17+'LC Tracker'!AE17+'LC Tracker'!AL17+'LC Tracker'!AS17+'LC Tracker'!AZ17+'LC Tracker'!BG17+'LC Tracker'!BN17</f>
        <v>435078.21</v>
      </c>
      <c r="H25" s="169"/>
      <c r="I25" s="169"/>
      <c r="J25" s="169"/>
      <c r="K25" s="169"/>
      <c r="L25" s="169"/>
      <c r="M25" s="169"/>
      <c r="N25" s="169"/>
      <c r="O25" s="169"/>
      <c r="P25" s="169"/>
      <c r="Q25" s="169"/>
      <c r="R25" s="170"/>
    </row>
    <row r="26" spans="2:18" ht="15" customHeight="1" thickBot="1" x14ac:dyDescent="0.3">
      <c r="B26" s="165" t="s">
        <v>431</v>
      </c>
      <c r="C26" s="166"/>
      <c r="D26" s="166"/>
      <c r="E26" s="166"/>
      <c r="F26" s="167"/>
      <c r="G26" s="154" t="s">
        <v>453</v>
      </c>
      <c r="H26" s="155"/>
      <c r="I26" s="155"/>
      <c r="J26" s="155"/>
      <c r="K26" s="155"/>
      <c r="L26" s="155"/>
      <c r="M26" s="155"/>
      <c r="N26" s="155"/>
      <c r="O26" s="155"/>
      <c r="P26" s="155"/>
      <c r="Q26" s="155"/>
      <c r="R26" s="156"/>
    </row>
    <row r="27" spans="2:18" ht="15.75" thickBot="1" x14ac:dyDescent="0.3">
      <c r="B27" s="165" t="s">
        <v>432</v>
      </c>
      <c r="C27" s="166"/>
      <c r="D27" s="166"/>
      <c r="E27" s="166"/>
      <c r="F27" s="167"/>
      <c r="G27" s="154" t="s">
        <v>27</v>
      </c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6"/>
    </row>
    <row r="28" spans="2:18" x14ac:dyDescent="0.25">
      <c r="B28" s="93"/>
      <c r="C28" s="93"/>
      <c r="D28" s="93"/>
      <c r="E28" s="93"/>
      <c r="F28" s="93"/>
    </row>
    <row r="29" spans="2:18" x14ac:dyDescent="0.25">
      <c r="B29" s="177" t="s">
        <v>433</v>
      </c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</row>
    <row r="30" spans="2:18" ht="15.75" thickBot="1" x14ac:dyDescent="0.3"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</row>
    <row r="31" spans="2:18" ht="15" customHeight="1" thickBot="1" x14ac:dyDescent="0.3">
      <c r="B31" s="165" t="s">
        <v>434</v>
      </c>
      <c r="C31" s="166"/>
      <c r="D31" s="166"/>
      <c r="E31" s="166"/>
      <c r="F31" s="167"/>
      <c r="G31" s="178" t="str">
        <f>CONCATENATE(C4,", Riyadh, Kingdom of Saudi Arabia")</f>
        <v>BANK MUSCAT SA, Riyadh, Kingdom of Saudi Arabia</v>
      </c>
      <c r="H31" s="179"/>
      <c r="I31" s="179"/>
      <c r="J31" s="179"/>
      <c r="K31" s="179"/>
      <c r="L31" s="179"/>
      <c r="M31" s="179"/>
      <c r="N31" s="179"/>
      <c r="O31" s="179"/>
      <c r="P31" s="179"/>
      <c r="Q31" s="179"/>
      <c r="R31" s="180"/>
    </row>
    <row r="32" spans="2:18" ht="15" customHeight="1" thickBot="1" x14ac:dyDescent="0.3">
      <c r="B32" s="165" t="s">
        <v>435</v>
      </c>
      <c r="C32" s="166"/>
      <c r="D32" s="166"/>
      <c r="E32" s="166"/>
      <c r="F32" s="167"/>
      <c r="G32" s="178" t="s">
        <v>451</v>
      </c>
      <c r="H32" s="179"/>
      <c r="I32" s="179"/>
      <c r="J32" s="179"/>
      <c r="K32" s="179"/>
      <c r="L32" s="179"/>
      <c r="M32" s="179"/>
      <c r="N32" s="179"/>
      <c r="O32" s="179"/>
      <c r="P32" s="179"/>
      <c r="Q32" s="179"/>
      <c r="R32" s="180"/>
    </row>
    <row r="33" spans="2:18" ht="15" customHeight="1" x14ac:dyDescent="0.25"/>
    <row r="34" spans="2:18" ht="14.45" customHeight="1" x14ac:dyDescent="0.25">
      <c r="B34" s="164" t="s">
        <v>436</v>
      </c>
      <c r="C34" s="164"/>
      <c r="D34" s="164"/>
      <c r="E34" s="164"/>
      <c r="F34" s="164"/>
      <c r="G34" s="164"/>
      <c r="H34" s="164"/>
      <c r="I34" s="164"/>
      <c r="J34" s="164"/>
      <c r="K34" s="164"/>
      <c r="L34" s="164"/>
      <c r="M34" s="164"/>
      <c r="N34" s="164"/>
      <c r="O34" s="164"/>
      <c r="P34" s="164"/>
      <c r="Q34" s="164"/>
      <c r="R34" s="164"/>
    </row>
    <row r="35" spans="2:18" x14ac:dyDescent="0.25">
      <c r="B35" s="164"/>
      <c r="C35" s="164"/>
      <c r="D35" s="164"/>
      <c r="E35" s="164"/>
      <c r="F35" s="164"/>
      <c r="G35" s="164"/>
      <c r="H35" s="164"/>
      <c r="I35" s="164"/>
      <c r="J35" s="164"/>
      <c r="K35" s="164"/>
      <c r="L35" s="164"/>
      <c r="M35" s="164"/>
      <c r="N35" s="164"/>
      <c r="O35" s="164"/>
      <c r="P35" s="164"/>
      <c r="Q35" s="164"/>
      <c r="R35" s="164"/>
    </row>
    <row r="36" spans="2:18" x14ac:dyDescent="0.25">
      <c r="B36" s="100"/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</row>
    <row r="37" spans="2:18" x14ac:dyDescent="0.25">
      <c r="B37" s="171" t="s">
        <v>414</v>
      </c>
      <c r="C37" s="171"/>
      <c r="D37" s="171"/>
      <c r="E37" s="171"/>
      <c r="F37" s="171"/>
      <c r="G37" s="171"/>
      <c r="H37" s="171"/>
      <c r="I37" s="171"/>
      <c r="J37" s="171"/>
      <c r="K37" s="171"/>
      <c r="L37" s="171"/>
      <c r="M37" s="171"/>
      <c r="N37" s="171"/>
      <c r="O37" s="171"/>
      <c r="P37" s="171"/>
      <c r="Q37" s="171"/>
      <c r="R37" s="171"/>
    </row>
  </sheetData>
  <mergeCells count="51">
    <mergeCell ref="B13:F14"/>
    <mergeCell ref="G13:G14"/>
    <mergeCell ref="H13:R14"/>
    <mergeCell ref="B2:C2"/>
    <mergeCell ref="D2:F2"/>
    <mergeCell ref="M2:O2"/>
    <mergeCell ref="Q2:R2"/>
    <mergeCell ref="M3:O3"/>
    <mergeCell ref="Q3:R3"/>
    <mergeCell ref="B5:O5"/>
    <mergeCell ref="B8:R8"/>
    <mergeCell ref="B10:R10"/>
    <mergeCell ref="B12:F12"/>
    <mergeCell ref="H12:R12"/>
    <mergeCell ref="B16:F16"/>
    <mergeCell ref="G16:N16"/>
    <mergeCell ref="O16:R16"/>
    <mergeCell ref="B17:F17"/>
    <mergeCell ref="G17:N17"/>
    <mergeCell ref="O17:R17"/>
    <mergeCell ref="B18:F18"/>
    <mergeCell ref="G18:N18"/>
    <mergeCell ref="O18:R18"/>
    <mergeCell ref="B19:F19"/>
    <mergeCell ref="G19:N19"/>
    <mergeCell ref="O19:R19"/>
    <mergeCell ref="B20:F20"/>
    <mergeCell ref="G20:N20"/>
    <mergeCell ref="O20:R20"/>
    <mergeCell ref="B21:F21"/>
    <mergeCell ref="G21:N21"/>
    <mergeCell ref="O21:R21"/>
    <mergeCell ref="B22:F22"/>
    <mergeCell ref="G22:N22"/>
    <mergeCell ref="O22:R22"/>
    <mergeCell ref="B23:F23"/>
    <mergeCell ref="G23:N23"/>
    <mergeCell ref="O23:R23"/>
    <mergeCell ref="B25:F25"/>
    <mergeCell ref="G25:R25"/>
    <mergeCell ref="B26:F26"/>
    <mergeCell ref="G26:R26"/>
    <mergeCell ref="B27:F27"/>
    <mergeCell ref="G27:R27"/>
    <mergeCell ref="B37:R37"/>
    <mergeCell ref="B29:R29"/>
    <mergeCell ref="B31:F31"/>
    <mergeCell ref="G31:R31"/>
    <mergeCell ref="B32:F32"/>
    <mergeCell ref="G32:R32"/>
    <mergeCell ref="B34:R35"/>
  </mergeCells>
  <pageMargins left="0.7" right="0.7" top="0.75" bottom="0.75" header="0.3" footer="0.3"/>
  <pageSetup scale="96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E63EEC-D52D-48B5-89BA-A6D05314E538}">
          <x14:formula1>
            <xm:f>'Cust Data'!$D$3:$D$154</xm:f>
          </x14:formula1>
          <xm:sqref>H12:R12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8">
    <tabColor rgb="FF2E75B6"/>
  </sheetPr>
  <dimension ref="A1:J25"/>
  <sheetViews>
    <sheetView zoomScaleNormal="100" workbookViewId="0">
      <pane ySplit="2" topLeftCell="A3" activePane="bottomLeft" state="frozen"/>
      <selection pane="bottomLeft" activeCell="D29" sqref="D29"/>
    </sheetView>
  </sheetViews>
  <sheetFormatPr defaultColWidth="8.7109375" defaultRowHeight="15" x14ac:dyDescent="0.25"/>
  <cols>
    <col min="1" max="1" width="10" customWidth="1"/>
    <col min="2" max="2" width="26" customWidth="1"/>
    <col min="3" max="3" width="14" customWidth="1"/>
    <col min="4" max="4" width="18" customWidth="1"/>
    <col min="5" max="5" width="15" customWidth="1"/>
    <col min="6" max="6" width="12" customWidth="1"/>
    <col min="7" max="7" width="15" customWidth="1"/>
    <col min="8" max="9" width="14" customWidth="1"/>
    <col min="10" max="10" width="22" customWidth="1"/>
  </cols>
  <sheetData>
    <row r="1" spans="1:10" ht="30" customHeight="1" thickBot="1" x14ac:dyDescent="0.3">
      <c r="A1" s="189" t="s">
        <v>107</v>
      </c>
      <c r="B1" s="189"/>
      <c r="C1" s="189"/>
      <c r="D1" s="189"/>
      <c r="E1" s="189"/>
      <c r="F1" s="189"/>
      <c r="G1" s="189"/>
      <c r="H1" s="189"/>
      <c r="I1" s="189"/>
      <c r="J1" s="189"/>
    </row>
    <row r="2" spans="1:10" ht="25.5" customHeight="1" thickBot="1" x14ac:dyDescent="0.3">
      <c r="A2" s="9" t="s">
        <v>108</v>
      </c>
      <c r="B2" s="9" t="s">
        <v>1</v>
      </c>
      <c r="C2" s="9" t="s">
        <v>109</v>
      </c>
      <c r="D2" s="9" t="s">
        <v>110</v>
      </c>
      <c r="E2" s="9" t="s">
        <v>111</v>
      </c>
      <c r="F2" s="9" t="s">
        <v>16</v>
      </c>
      <c r="G2" s="9" t="s">
        <v>112</v>
      </c>
      <c r="H2" s="9" t="s">
        <v>18</v>
      </c>
      <c r="I2" s="9" t="s">
        <v>19</v>
      </c>
      <c r="J2" s="9" t="s">
        <v>113</v>
      </c>
    </row>
    <row r="3" spans="1:10" ht="19.5" customHeight="1" x14ac:dyDescent="0.25">
      <c r="A3" s="1" t="s">
        <v>20</v>
      </c>
      <c r="B3" s="10" t="s">
        <v>21</v>
      </c>
      <c r="C3" s="1">
        <v>91187251</v>
      </c>
      <c r="D3" s="2">
        <v>93458.11</v>
      </c>
      <c r="E3" s="10"/>
      <c r="F3" s="3" t="s">
        <v>28</v>
      </c>
      <c r="G3" s="10"/>
      <c r="H3" s="10" t="s">
        <v>29</v>
      </c>
      <c r="I3" s="1"/>
      <c r="J3" s="10"/>
    </row>
    <row r="4" spans="1:10" ht="19.5" customHeight="1" x14ac:dyDescent="0.25">
      <c r="A4" s="4" t="s">
        <v>30</v>
      </c>
      <c r="B4" s="11" t="s">
        <v>21</v>
      </c>
      <c r="C4" s="4">
        <v>91189924</v>
      </c>
      <c r="D4" s="5">
        <v>57415.67</v>
      </c>
      <c r="E4" s="11"/>
      <c r="F4" s="3" t="s">
        <v>28</v>
      </c>
      <c r="G4" s="11"/>
      <c r="H4" s="11" t="s">
        <v>35</v>
      </c>
      <c r="I4" s="4"/>
      <c r="J4" s="11"/>
    </row>
    <row r="5" spans="1:10" ht="19.5" customHeight="1" x14ac:dyDescent="0.25">
      <c r="A5" s="1" t="s">
        <v>30</v>
      </c>
      <c r="B5" s="10" t="s">
        <v>21</v>
      </c>
      <c r="C5" s="1">
        <v>91186097</v>
      </c>
      <c r="D5" s="2">
        <v>155195.44</v>
      </c>
      <c r="E5" s="10"/>
      <c r="F5" s="3" t="s">
        <v>28</v>
      </c>
      <c r="G5" s="10"/>
      <c r="H5" s="10" t="s">
        <v>35</v>
      </c>
      <c r="I5" s="1"/>
      <c r="J5" s="10"/>
    </row>
    <row r="6" spans="1:10" ht="19.5" customHeight="1" x14ac:dyDescent="0.25">
      <c r="A6" s="4" t="s">
        <v>30</v>
      </c>
      <c r="B6" s="11" t="s">
        <v>21</v>
      </c>
      <c r="C6" s="4">
        <v>91189919</v>
      </c>
      <c r="D6" s="5">
        <v>1993.6</v>
      </c>
      <c r="E6" s="11"/>
      <c r="F6" s="3" t="s">
        <v>28</v>
      </c>
      <c r="G6" s="11"/>
      <c r="H6" s="11" t="s">
        <v>35</v>
      </c>
      <c r="I6" s="4"/>
      <c r="J6" s="11"/>
    </row>
    <row r="7" spans="1:10" ht="19.5" customHeight="1" x14ac:dyDescent="0.25">
      <c r="A7" s="1" t="s">
        <v>30</v>
      </c>
      <c r="B7" s="10" t="s">
        <v>21</v>
      </c>
      <c r="C7" s="1">
        <v>91189901</v>
      </c>
      <c r="D7" s="2">
        <v>18008.96</v>
      </c>
      <c r="E7" s="10"/>
      <c r="F7" s="12" t="s">
        <v>114</v>
      </c>
      <c r="G7" s="10"/>
      <c r="H7" s="10"/>
      <c r="I7" s="1"/>
      <c r="J7" s="23" t="s">
        <v>115</v>
      </c>
    </row>
    <row r="8" spans="1:10" ht="19.5" customHeight="1" x14ac:dyDescent="0.25">
      <c r="A8" s="4" t="s">
        <v>36</v>
      </c>
      <c r="B8" s="11" t="s">
        <v>21</v>
      </c>
      <c r="C8" s="4">
        <v>91195705</v>
      </c>
      <c r="D8" s="5">
        <v>355645.85</v>
      </c>
      <c r="E8" s="11"/>
      <c r="F8" s="3" t="s">
        <v>28</v>
      </c>
      <c r="G8" s="11"/>
      <c r="H8" s="11" t="s">
        <v>41</v>
      </c>
      <c r="I8" s="4"/>
      <c r="J8" s="11"/>
    </row>
    <row r="9" spans="1:10" ht="19.5" customHeight="1" x14ac:dyDescent="0.25">
      <c r="A9" s="1" t="s">
        <v>36</v>
      </c>
      <c r="B9" s="10" t="s">
        <v>21</v>
      </c>
      <c r="C9" s="1" t="s">
        <v>42</v>
      </c>
      <c r="D9" s="2">
        <v>59100</v>
      </c>
      <c r="E9" s="10"/>
      <c r="F9" s="3" t="s">
        <v>28</v>
      </c>
      <c r="G9" s="10" t="s">
        <v>41</v>
      </c>
      <c r="H9" s="10"/>
      <c r="I9" s="1"/>
      <c r="J9" s="10"/>
    </row>
    <row r="10" spans="1:10" ht="19.5" customHeight="1" x14ac:dyDescent="0.25">
      <c r="A10" s="4" t="s">
        <v>43</v>
      </c>
      <c r="B10" s="11" t="s">
        <v>21</v>
      </c>
      <c r="C10" s="4" t="s">
        <v>47</v>
      </c>
      <c r="D10" s="5">
        <v>172096.92</v>
      </c>
      <c r="E10" s="11"/>
      <c r="F10" s="12" t="s">
        <v>114</v>
      </c>
      <c r="G10" s="11"/>
      <c r="H10" s="11"/>
      <c r="I10" s="4"/>
      <c r="J10" s="11"/>
    </row>
    <row r="11" spans="1:10" ht="19.5" customHeight="1" x14ac:dyDescent="0.25">
      <c r="A11" s="1" t="s">
        <v>48</v>
      </c>
      <c r="B11" s="10" t="s">
        <v>49</v>
      </c>
      <c r="C11" s="1" t="s">
        <v>54</v>
      </c>
      <c r="D11" s="2">
        <v>650451</v>
      </c>
      <c r="E11" s="10"/>
      <c r="F11" s="12" t="s">
        <v>114</v>
      </c>
      <c r="G11" s="10"/>
      <c r="H11" s="10"/>
      <c r="I11" s="1"/>
      <c r="J11" s="10"/>
    </row>
    <row r="12" spans="1:10" ht="19.5" customHeight="1" x14ac:dyDescent="0.25">
      <c r="A12" s="4" t="s">
        <v>48</v>
      </c>
      <c r="B12" s="11" t="s">
        <v>49</v>
      </c>
      <c r="C12" s="4" t="s">
        <v>55</v>
      </c>
      <c r="D12" s="5">
        <v>100351.3</v>
      </c>
      <c r="E12" s="11"/>
      <c r="F12" s="12" t="s">
        <v>114</v>
      </c>
      <c r="G12" s="11"/>
      <c r="H12" s="11"/>
      <c r="I12" s="4"/>
      <c r="J12" s="11"/>
    </row>
    <row r="13" spans="1:10" ht="19.5" customHeight="1" x14ac:dyDescent="0.25">
      <c r="A13" s="1" t="s">
        <v>56</v>
      </c>
      <c r="B13" s="10" t="s">
        <v>57</v>
      </c>
      <c r="C13" s="1" t="s">
        <v>65</v>
      </c>
      <c r="D13" s="2">
        <v>200806.15</v>
      </c>
      <c r="E13" s="10"/>
      <c r="F13" s="12" t="s">
        <v>114</v>
      </c>
      <c r="G13" s="10"/>
      <c r="H13" s="10"/>
      <c r="I13" s="1"/>
      <c r="J13" s="10"/>
    </row>
    <row r="14" spans="1:10" ht="19.5" customHeight="1" x14ac:dyDescent="0.25">
      <c r="A14" s="4" t="s">
        <v>66</v>
      </c>
      <c r="B14" s="11" t="s">
        <v>49</v>
      </c>
      <c r="C14" s="4" t="s">
        <v>70</v>
      </c>
      <c r="D14" s="5">
        <v>374620.58</v>
      </c>
      <c r="E14" s="11"/>
      <c r="F14" s="12" t="s">
        <v>114</v>
      </c>
      <c r="G14" s="11"/>
      <c r="H14" s="11"/>
      <c r="I14" s="4"/>
      <c r="J14" s="11"/>
    </row>
    <row r="15" spans="1:10" ht="19.5" customHeight="1" x14ac:dyDescent="0.25">
      <c r="A15" s="1" t="s">
        <v>66</v>
      </c>
      <c r="B15" s="10" t="s">
        <v>49</v>
      </c>
      <c r="C15" s="1" t="s">
        <v>71</v>
      </c>
      <c r="D15" s="2">
        <v>286840.8</v>
      </c>
      <c r="E15" s="10"/>
      <c r="F15" s="12" t="s">
        <v>114</v>
      </c>
      <c r="G15" s="10"/>
      <c r="H15" s="10"/>
      <c r="I15" s="1"/>
      <c r="J15" s="10"/>
    </row>
    <row r="16" spans="1:10" ht="19.5" customHeight="1" x14ac:dyDescent="0.25">
      <c r="A16" s="4" t="s">
        <v>66</v>
      </c>
      <c r="B16" s="11" t="s">
        <v>49</v>
      </c>
      <c r="C16" s="4" t="s">
        <v>72</v>
      </c>
      <c r="D16" s="5">
        <v>39033.9</v>
      </c>
      <c r="E16" s="11"/>
      <c r="F16" s="12" t="s">
        <v>114</v>
      </c>
      <c r="G16" s="11"/>
      <c r="H16" s="11"/>
      <c r="I16" s="4"/>
      <c r="J16" s="11"/>
    </row>
    <row r="17" spans="1:10" ht="19.5" customHeight="1" x14ac:dyDescent="0.25">
      <c r="A17" s="1" t="s">
        <v>75</v>
      </c>
      <c r="B17" s="10" t="s">
        <v>76</v>
      </c>
      <c r="C17" s="1" t="s">
        <v>82</v>
      </c>
      <c r="D17" s="2">
        <v>438144</v>
      </c>
      <c r="E17" s="10"/>
      <c r="F17" s="3" t="s">
        <v>28</v>
      </c>
      <c r="G17" s="10"/>
      <c r="H17" s="10" t="s">
        <v>83</v>
      </c>
      <c r="I17" s="1"/>
      <c r="J17" s="10"/>
    </row>
    <row r="18" spans="1:10" ht="19.5" customHeight="1" x14ac:dyDescent="0.25">
      <c r="A18" s="4" t="s">
        <v>75</v>
      </c>
      <c r="B18" s="11" t="s">
        <v>76</v>
      </c>
      <c r="C18" s="4" t="s">
        <v>84</v>
      </c>
      <c r="D18" s="5">
        <v>310587.01</v>
      </c>
      <c r="E18" s="11"/>
      <c r="F18" s="3" t="s">
        <v>28</v>
      </c>
      <c r="G18" s="11"/>
      <c r="H18" s="11" t="s">
        <v>83</v>
      </c>
      <c r="I18" s="4"/>
      <c r="J18" s="11"/>
    </row>
    <row r="19" spans="1:10" ht="19.5" customHeight="1" x14ac:dyDescent="0.25">
      <c r="A19" s="1" t="s">
        <v>75</v>
      </c>
      <c r="B19" s="10" t="s">
        <v>76</v>
      </c>
      <c r="C19" s="1" t="s">
        <v>85</v>
      </c>
      <c r="D19" s="2">
        <v>37391.839999999997</v>
      </c>
      <c r="E19" s="10"/>
      <c r="F19" s="3" t="s">
        <v>28</v>
      </c>
      <c r="G19" s="10"/>
      <c r="H19" s="10" t="s">
        <v>83</v>
      </c>
      <c r="I19" s="1"/>
      <c r="J19" s="10"/>
    </row>
    <row r="20" spans="1:10" ht="19.5" customHeight="1" x14ac:dyDescent="0.25">
      <c r="A20" s="4" t="s">
        <v>75</v>
      </c>
      <c r="B20" s="11" t="s">
        <v>76</v>
      </c>
      <c r="C20" s="4" t="s">
        <v>86</v>
      </c>
      <c r="D20" s="5">
        <v>84657.9</v>
      </c>
      <c r="E20" s="11"/>
      <c r="F20" s="12" t="s">
        <v>114</v>
      </c>
      <c r="G20" s="11"/>
      <c r="H20" s="11"/>
      <c r="I20" s="4"/>
      <c r="J20" s="11"/>
    </row>
    <row r="21" spans="1:10" ht="19.5" customHeight="1" x14ac:dyDescent="0.25">
      <c r="A21" s="1" t="s">
        <v>75</v>
      </c>
      <c r="B21" s="10" t="s">
        <v>76</v>
      </c>
      <c r="C21" s="1" t="s">
        <v>87</v>
      </c>
      <c r="D21" s="2">
        <v>592683.1</v>
      </c>
      <c r="E21" s="10"/>
      <c r="F21" s="12" t="s">
        <v>114</v>
      </c>
      <c r="G21" s="10"/>
      <c r="H21" s="10"/>
      <c r="I21" s="1"/>
      <c r="J21" s="10"/>
    </row>
    <row r="22" spans="1:10" ht="19.5" customHeight="1" x14ac:dyDescent="0.25">
      <c r="A22" s="4" t="s">
        <v>88</v>
      </c>
      <c r="B22" s="11" t="s">
        <v>89</v>
      </c>
      <c r="C22" s="4" t="s">
        <v>97</v>
      </c>
      <c r="D22" s="5">
        <v>46729</v>
      </c>
      <c r="E22" s="11"/>
      <c r="F22" s="12" t="s">
        <v>114</v>
      </c>
      <c r="G22" s="11"/>
      <c r="H22" s="11"/>
      <c r="I22" s="4"/>
      <c r="J22" s="11"/>
    </row>
    <row r="23" spans="1:10" ht="19.5" customHeight="1" x14ac:dyDescent="0.25">
      <c r="A23" s="1" t="s">
        <v>98</v>
      </c>
      <c r="B23" s="10" t="s">
        <v>99</v>
      </c>
      <c r="C23" s="1" t="s">
        <v>104</v>
      </c>
      <c r="D23" s="2">
        <v>389958.34</v>
      </c>
      <c r="E23" s="10"/>
      <c r="F23" s="12" t="s">
        <v>114</v>
      </c>
      <c r="G23" s="10"/>
      <c r="H23" s="10"/>
      <c r="I23" s="1"/>
      <c r="J23" s="10"/>
    </row>
    <row r="24" spans="1:10" ht="19.5" customHeight="1" thickBot="1" x14ac:dyDescent="0.3">
      <c r="A24" s="4" t="s">
        <v>98</v>
      </c>
      <c r="B24" s="11" t="s">
        <v>99</v>
      </c>
      <c r="C24" s="4" t="s">
        <v>105</v>
      </c>
      <c r="D24" s="5">
        <v>85423.4</v>
      </c>
      <c r="E24" s="11"/>
      <c r="F24" s="12" t="s">
        <v>114</v>
      </c>
      <c r="G24" s="11"/>
      <c r="H24" s="11"/>
      <c r="I24" s="4"/>
      <c r="J24" s="11"/>
    </row>
    <row r="25" spans="1:10" ht="21.75" customHeight="1" thickBot="1" x14ac:dyDescent="0.3">
      <c r="A25" s="149" t="s">
        <v>116</v>
      </c>
      <c r="B25" s="149"/>
      <c r="C25" s="149"/>
      <c r="D25" s="7">
        <f>SUM(D3:D24)</f>
        <v>4550592.8699999992</v>
      </c>
      <c r="E25" s="8"/>
      <c r="F25" s="8"/>
      <c r="G25" s="8"/>
      <c r="H25" s="8"/>
      <c r="I25" s="8"/>
      <c r="J25" s="8"/>
    </row>
  </sheetData>
  <mergeCells count="2">
    <mergeCell ref="A1:J1"/>
    <mergeCell ref="A25:C25"/>
  </mergeCells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7ea30c0c-b121-4a38-9cf3-3b67eeaa63c4}" enabled="0" method="" siteId="{7ea30c0c-b121-4a38-9cf3-3b67eeaa63c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4</vt:i4>
      </vt:variant>
    </vt:vector>
  </HeadingPairs>
  <TitlesOfParts>
    <vt:vector size="15" baseType="lpstr">
      <vt:lpstr>LC Tracker</vt:lpstr>
      <vt:lpstr>Certificate of Analysis</vt:lpstr>
      <vt:lpstr>Summary</vt:lpstr>
      <vt:lpstr>lc summary</vt:lpstr>
      <vt:lpstr>Cust Data</vt:lpstr>
      <vt:lpstr>Banks Data</vt:lpstr>
      <vt:lpstr>Payment Term</vt:lpstr>
      <vt:lpstr>cover Letter print</vt:lpstr>
      <vt:lpstr>cover Letter print (2)</vt:lpstr>
      <vt:lpstr>cover Letter print (3)</vt:lpstr>
      <vt:lpstr>Invoice Detail</vt:lpstr>
      <vt:lpstr>'Certificate of Analysis'!Print_Area</vt:lpstr>
      <vt:lpstr>'cover Letter print'!Print_Area</vt:lpstr>
      <vt:lpstr>'cover Letter print (2)'!Print_Area</vt:lpstr>
      <vt:lpstr>'cover Letter print (3)'!Print_Area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Abdulrahman Alzahrani</cp:lastModifiedBy>
  <cp:revision>0</cp:revision>
  <cp:lastPrinted>2026-06-17T13:08:46Z</cp:lastPrinted>
  <dcterms:created xsi:type="dcterms:W3CDTF">2026-05-07T09:41:04Z</dcterms:created>
  <dcterms:modified xsi:type="dcterms:W3CDTF">2026-08-27T08:22:12Z</dcterms:modified>
  <dc:language>en-US</dc:language>
</cp:coreProperties>
</file>